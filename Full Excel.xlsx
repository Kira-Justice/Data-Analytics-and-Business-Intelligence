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Data Analytics and Buisness Intelligence\"/>
    </mc:Choice>
  </mc:AlternateContent>
  <xr:revisionPtr revIDLastSave="0" documentId="13_ncr:1_{4877A79D-0D3B-41D6-B06A-D5E22506069C}" xr6:coauthVersionLast="47" xr6:coauthVersionMax="47" xr10:uidLastSave="{00000000-0000-0000-0000-000000000000}"/>
  <bookViews>
    <workbookView xWindow="-110" yWindow="-110" windowWidth="19420" windowHeight="10300" xr2:uid="{34AA3A09-ACB8-41A6-8994-4DEE2DBBA010}"/>
  </bookViews>
  <sheets>
    <sheet name="Sheet1" sheetId="1" r:id="rId1"/>
    <sheet name="Sheet2" sheetId="2" r:id="rId2"/>
  </sheets>
  <definedNames>
    <definedName name="_xlnm._FilterDatabase" localSheetId="0" hidden="1">Sheet1!$A$136:$I$150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14" i="1" l="1"/>
  <c r="O313" i="1"/>
  <c r="O312" i="1"/>
  <c r="O311" i="1"/>
  <c r="P310" i="1"/>
  <c r="O310" i="1"/>
  <c r="H264" i="1"/>
  <c r="H263" i="1"/>
  <c r="H7" i="2"/>
  <c r="H6" i="2"/>
  <c r="H5" i="2"/>
  <c r="K234" i="1"/>
  <c r="K235" i="1" s="1"/>
  <c r="K236" i="1" s="1"/>
  <c r="K237" i="1" s="1"/>
  <c r="K238" i="1" s="1"/>
  <c r="K239" i="1" s="1"/>
  <c r="K240" i="1" s="1"/>
  <c r="K241" i="1" s="1"/>
  <c r="K242" i="1" s="1"/>
  <c r="K243" i="1" s="1"/>
  <c r="K244" i="1" s="1"/>
  <c r="K245" i="1" s="1"/>
  <c r="L235" i="1"/>
  <c r="L236" i="1" s="1"/>
  <c r="L237" i="1" s="1"/>
  <c r="L238" i="1" s="1"/>
  <c r="L239" i="1" s="1"/>
  <c r="L240" i="1" s="1"/>
  <c r="L241" i="1" s="1"/>
  <c r="L242" i="1" s="1"/>
  <c r="L243" i="1" s="1"/>
  <c r="L244" i="1" s="1"/>
  <c r="L245" i="1" s="1"/>
  <c r="M234" i="1"/>
  <c r="L234" i="1"/>
  <c r="K218" i="1"/>
  <c r="K219" i="1"/>
  <c r="K220" i="1"/>
  <c r="K221" i="1"/>
  <c r="K222" i="1"/>
  <c r="K223" i="1"/>
  <c r="K224" i="1"/>
  <c r="K225" i="1"/>
  <c r="K226" i="1"/>
  <c r="K227" i="1"/>
  <c r="K228" i="1"/>
  <c r="K217" i="1"/>
  <c r="O245" i="1"/>
  <c r="N245" i="1"/>
  <c r="M245" i="1"/>
  <c r="O244" i="1"/>
  <c r="N244" i="1"/>
  <c r="M244" i="1"/>
  <c r="O243" i="1"/>
  <c r="N243" i="1"/>
  <c r="M243" i="1"/>
  <c r="O242" i="1"/>
  <c r="N242" i="1"/>
  <c r="M242" i="1"/>
  <c r="O241" i="1"/>
  <c r="N241" i="1"/>
  <c r="M241" i="1"/>
  <c r="O240" i="1"/>
  <c r="N240" i="1"/>
  <c r="M240" i="1"/>
  <c r="O239" i="1"/>
  <c r="N239" i="1"/>
  <c r="M239" i="1"/>
  <c r="O238" i="1"/>
  <c r="N238" i="1"/>
  <c r="M238" i="1"/>
  <c r="O237" i="1"/>
  <c r="N237" i="1"/>
  <c r="M237" i="1"/>
  <c r="O236" i="1"/>
  <c r="N236" i="1"/>
  <c r="M236" i="1"/>
  <c r="O235" i="1"/>
  <c r="N235" i="1"/>
  <c r="M235" i="1"/>
  <c r="O234" i="1"/>
  <c r="N234" i="1"/>
  <c r="K209" i="1"/>
  <c r="K208" i="1"/>
  <c r="K207" i="1"/>
  <c r="K206" i="1"/>
  <c r="K205" i="1"/>
  <c r="K204" i="1"/>
  <c r="K203" i="1"/>
  <c r="K202" i="1"/>
  <c r="K201" i="1"/>
  <c r="K200" i="1"/>
  <c r="K199" i="1"/>
  <c r="K198" i="1"/>
  <c r="N88" i="1" l="1"/>
  <c r="N87" i="1"/>
  <c r="N86" i="1"/>
  <c r="N85" i="1"/>
  <c r="N84" i="1"/>
  <c r="N83" i="1"/>
  <c r="K77" i="1"/>
  <c r="K76" i="1"/>
  <c r="K73" i="1"/>
  <c r="O65" i="1"/>
  <c r="N65" i="1"/>
  <c r="M65" i="1"/>
  <c r="J68" i="1"/>
  <c r="K68" i="1"/>
  <c r="L68" i="1"/>
  <c r="I68" i="1"/>
  <c r="P56" i="1"/>
  <c r="N56" i="1"/>
  <c r="P55" i="1"/>
  <c r="N55" i="1"/>
  <c r="P54" i="1"/>
  <c r="N54" i="1"/>
  <c r="P53" i="1"/>
  <c r="N53" i="1"/>
</calcChain>
</file>

<file path=xl/sharedStrings.xml><?xml version="1.0" encoding="utf-8"?>
<sst xmlns="http://schemas.openxmlformats.org/spreadsheetml/2006/main" count="2202" uniqueCount="612">
  <si>
    <t>First 1-7 Lectures of the course are about the theory. Which Includes the DATA,Information,Business Intelligence,Data Analytics and Process of Business Intelligence and which Tool we used for this course like Excel,Power B.I,and SQL.</t>
  </si>
  <si>
    <t>Lectures from 8-10 are about Excel Interface and simple Editing like colouring the coulmn and using the wrap text and etc..</t>
  </si>
  <si>
    <t>SR No</t>
  </si>
  <si>
    <t>Name</t>
  </si>
  <si>
    <t>Item 1</t>
  </si>
  <si>
    <t>Item 2</t>
  </si>
  <si>
    <t>Item 3</t>
  </si>
  <si>
    <t xml:space="preserve">Ali </t>
  </si>
  <si>
    <t>Ahmed</t>
  </si>
  <si>
    <t>Hasan</t>
  </si>
  <si>
    <t>Wasif</t>
  </si>
  <si>
    <t xml:space="preserve"> Waleed</t>
  </si>
  <si>
    <t>Muhammad</t>
  </si>
  <si>
    <t>Lectures No 11 --- 13</t>
  </si>
  <si>
    <t>Month</t>
  </si>
  <si>
    <t>Region</t>
  </si>
  <si>
    <t>Manager</t>
  </si>
  <si>
    <t>Salesperson</t>
  </si>
  <si>
    <t>Category</t>
  </si>
  <si>
    <t>Subcategory</t>
  </si>
  <si>
    <t>Quantity</t>
  </si>
  <si>
    <t>Remarks</t>
  </si>
  <si>
    <t>January</t>
  </si>
  <si>
    <t>East</t>
  </si>
  <si>
    <t>Eddings</t>
  </si>
  <si>
    <t>Drake</t>
  </si>
  <si>
    <t>Business</t>
  </si>
  <si>
    <t>Mens</t>
  </si>
  <si>
    <t>A quick brown fox jumps over the lazy dog</t>
  </si>
  <si>
    <t>Abdo</t>
  </si>
  <si>
    <t>Womens</t>
  </si>
  <si>
    <t>Callie</t>
  </si>
  <si>
    <t>Baines</t>
  </si>
  <si>
    <t>February</t>
  </si>
  <si>
    <t>March</t>
  </si>
  <si>
    <t>This data was not in good condition I edited it</t>
  </si>
  <si>
    <t>Customer</t>
  </si>
  <si>
    <t>Q1</t>
  </si>
  <si>
    <t>Q2</t>
  </si>
  <si>
    <t>Q3</t>
  </si>
  <si>
    <t>Q4</t>
  </si>
  <si>
    <t>Alluring Barometer Inc.</t>
  </si>
  <si>
    <t>Matchless Door Corporation</t>
  </si>
  <si>
    <t>Supreme Belt Corporation</t>
  </si>
  <si>
    <t>Special Doorbell Inc.</t>
  </si>
  <si>
    <t>Ideal Barometer Inc.</t>
  </si>
  <si>
    <t>Sure Eggbeater Inc.</t>
  </si>
  <si>
    <t>Supreme Lawn Traders</t>
  </si>
  <si>
    <t>Guaranteed Sandal Company</t>
  </si>
  <si>
    <t>Crisp Barometer Company</t>
  </si>
  <si>
    <t>Secure Linen Supply</t>
  </si>
  <si>
    <t>Rare Umbrella Corporation</t>
  </si>
  <si>
    <t>Trustworthy Utensil Corporation</t>
  </si>
  <si>
    <t>Key Learning:</t>
  </si>
  <si>
    <t>Format Painter</t>
  </si>
  <si>
    <t>Quick Access Toolbar</t>
  </si>
  <si>
    <t>Keyboard Shortcuts</t>
  </si>
  <si>
    <t>S. No</t>
  </si>
  <si>
    <t>Total</t>
  </si>
  <si>
    <t>Value</t>
  </si>
  <si>
    <t>Percentage</t>
  </si>
  <si>
    <t>Jahangir</t>
  </si>
  <si>
    <t>Sachwani</t>
  </si>
  <si>
    <t>Nabeel</t>
  </si>
  <si>
    <t>Haseeb</t>
  </si>
  <si>
    <t>Formula Types:</t>
  </si>
  <si>
    <t>Cell by Cell Formula</t>
  </si>
  <si>
    <t>Wide Range Formula</t>
  </si>
  <si>
    <t>Sum</t>
  </si>
  <si>
    <t>Sub</t>
  </si>
  <si>
    <t>Div</t>
  </si>
  <si>
    <t>Mul</t>
  </si>
  <si>
    <t>Min</t>
  </si>
  <si>
    <t>Max</t>
  </si>
  <si>
    <t>Average</t>
  </si>
  <si>
    <t>Basic Formulas</t>
  </si>
  <si>
    <t>Amount</t>
  </si>
  <si>
    <t>%age</t>
  </si>
  <si>
    <t>Company</t>
  </si>
  <si>
    <t>Date</t>
  </si>
  <si>
    <t>Period</t>
  </si>
  <si>
    <t>Profit / (Loss)</t>
  </si>
  <si>
    <t>after tax</t>
  </si>
  <si>
    <t>SUM</t>
  </si>
  <si>
    <t>KHURSHID SPINNING MILLS LIMITD</t>
  </si>
  <si>
    <t>30-Jun-24 F</t>
  </si>
  <si>
    <t>MAX</t>
  </si>
  <si>
    <t>TRI-STAR MOD.1ST</t>
  </si>
  <si>
    <t>MIN</t>
  </si>
  <si>
    <t>TRI-STAR POLYESTER LIMITED</t>
  </si>
  <si>
    <t>AVERAGE</t>
  </si>
  <si>
    <t>ARPAK INTERNATIONAL INV. LTD.</t>
  </si>
  <si>
    <t>COUNT</t>
  </si>
  <si>
    <t>TAJ TEXTILE MILLS LIMITED</t>
  </si>
  <si>
    <t>COUNTA</t>
  </si>
  <si>
    <t>GENERTECH PAKISTAN LIMITED</t>
  </si>
  <si>
    <t>DAR ES SALAAM TEX. MILLS LTD</t>
  </si>
  <si>
    <t>THE HUB POWER COMPANY LIMITED</t>
  </si>
  <si>
    <t>RAVI TEXTILE MILLS LIMITED</t>
  </si>
  <si>
    <t>TRUST MODARABA</t>
  </si>
  <si>
    <t>YOUSAF WEAVING MILLS LIMITED</t>
  </si>
  <si>
    <t>CHAKWAL SPINNING MILLS LIMITED</t>
  </si>
  <si>
    <t>BALOCHISTAN GLASS LIMITED</t>
  </si>
  <si>
    <t>KOHINOOR INDUSTRIES LIMITED</t>
  </si>
  <si>
    <t>KOHINOOR POWER COMPANY LIMITED</t>
  </si>
  <si>
    <t>REDCO TEXTILE LIMITED</t>
  </si>
  <si>
    <t>RUBY TEXTILE MILLS LIMITED</t>
  </si>
  <si>
    <t>SARDAR CHEMICAL INDUSTRIES LTD</t>
  </si>
  <si>
    <t>FLYING CEMENT COMPANY LIMITED</t>
  </si>
  <si>
    <t>SERVICE INDUSTRIES TEXTILE LTD</t>
  </si>
  <si>
    <t>SERVICE FABRICS LIMITED</t>
  </si>
  <si>
    <t>GHARIBWAL CEMENT COMPANY LTD.</t>
  </si>
  <si>
    <t>HALA ENTERPRISE LIMITED</t>
  </si>
  <si>
    <t>ICC TEXTILES LIMITED</t>
  </si>
  <si>
    <t>FIRST FID. LEAS.(NISHAT MOD.)</t>
  </si>
  <si>
    <t>DIAMOND INDUSTRIES LIMITED</t>
  </si>
  <si>
    <t>SALMAN NOMAN ENTERPRISES LTD</t>
  </si>
  <si>
    <t>AL-QADIR TEXILE MILLS LIMITED</t>
  </si>
  <si>
    <t>ASIM TEXTILE MILLS LIMITED</t>
  </si>
  <si>
    <t>NISHAT CHUNIAN POWER LIMITED</t>
  </si>
  <si>
    <t>NISHAT CHUNIAN LTD15%N.V.C.PRF</t>
  </si>
  <si>
    <t>NISHAT (CHUNIAN) LIMITED</t>
  </si>
  <si>
    <t>D.S. INDUSTRIES LIMITED</t>
  </si>
  <si>
    <t>PERVEZ AHMED SECURITIES LTD.</t>
  </si>
  <si>
    <t>RELIANCE WEAVING MILLS LIMITED</t>
  </si>
  <si>
    <t>GULSHAN SPINNING MILLS LTD</t>
  </si>
  <si>
    <t>PARAMOUNT SPINNING MILLS LTD</t>
  </si>
  <si>
    <t>GULISTAN SPINNING MILLS LTD</t>
  </si>
  <si>
    <t>SALLY TEXTILE MILLS LIMITED</t>
  </si>
  <si>
    <t>J.A. TEXTILE MILLS LIMITED</t>
  </si>
  <si>
    <t>APOLLO TEXTILE MILLS LIMITED</t>
  </si>
  <si>
    <t>AYESHA TEXTILE MILLS LIMITED</t>
  </si>
  <si>
    <t>UNICAP MODARABA(SUSPENDED)</t>
  </si>
  <si>
    <t>MACPAC FILMS LIMITED</t>
  </si>
  <si>
    <t>LEINER PAK GELATINE LIMITED</t>
  </si>
  <si>
    <t>FRONTIER CERAMICS LIMITED</t>
  </si>
  <si>
    <t>Quarter</t>
  </si>
  <si>
    <t>State</t>
  </si>
  <si>
    <t>New York</t>
  </si>
  <si>
    <t>Filerting Data</t>
  </si>
  <si>
    <t>Sorting Data</t>
  </si>
  <si>
    <t>Casual</t>
  </si>
  <si>
    <t>New Jersey</t>
  </si>
  <si>
    <t>Franks</t>
  </si>
  <si>
    <t>Darper</t>
  </si>
  <si>
    <t>Applegate</t>
  </si>
  <si>
    <t>Barr</t>
  </si>
  <si>
    <t>North</t>
  </si>
  <si>
    <t>Minnesota</t>
  </si>
  <si>
    <t>Andersen</t>
  </si>
  <si>
    <t>Denison</t>
  </si>
  <si>
    <t>Adams</t>
  </si>
  <si>
    <t>Benson</t>
  </si>
  <si>
    <t>Custom Lists</t>
  </si>
  <si>
    <t>Fill Series</t>
  </si>
  <si>
    <t>Copy Cells</t>
  </si>
  <si>
    <t>Copy Formatting</t>
  </si>
  <si>
    <t>Fill Handle</t>
  </si>
  <si>
    <t>Monday</t>
  </si>
  <si>
    <t>A 1</t>
  </si>
  <si>
    <t>Qtr 1</t>
  </si>
  <si>
    <t>Year 2019</t>
  </si>
  <si>
    <t>Autofill</t>
  </si>
  <si>
    <t>Tuesday</t>
  </si>
  <si>
    <t>A 2</t>
  </si>
  <si>
    <t>Qtr 2</t>
  </si>
  <si>
    <t>Year 2020</t>
  </si>
  <si>
    <t>Wednesday</t>
  </si>
  <si>
    <t>A 3</t>
  </si>
  <si>
    <t>Qtr 3</t>
  </si>
  <si>
    <t>Year 2021</t>
  </si>
  <si>
    <t>West</t>
  </si>
  <si>
    <t>April</t>
  </si>
  <si>
    <t>Thursday</t>
  </si>
  <si>
    <t>A 4</t>
  </si>
  <si>
    <t>Qtr 4</t>
  </si>
  <si>
    <t>Year 2022</t>
  </si>
  <si>
    <t>South</t>
  </si>
  <si>
    <t>May</t>
  </si>
  <si>
    <t>Friday</t>
  </si>
  <si>
    <t>A 5</t>
  </si>
  <si>
    <t>Year 2023</t>
  </si>
  <si>
    <t>June</t>
  </si>
  <si>
    <t>A 6</t>
  </si>
  <si>
    <t>Year 2024</t>
  </si>
  <si>
    <t>July</t>
  </si>
  <si>
    <t>A 7</t>
  </si>
  <si>
    <t>Year 2025</t>
  </si>
  <si>
    <t>August</t>
  </si>
  <si>
    <t>A 8</t>
  </si>
  <si>
    <t>Year 2026</t>
  </si>
  <si>
    <t>September</t>
  </si>
  <si>
    <t>A 9</t>
  </si>
  <si>
    <t>Year 2027</t>
  </si>
  <si>
    <t>October</t>
  </si>
  <si>
    <t>A 10</t>
  </si>
  <si>
    <t>Year 2028</t>
  </si>
  <si>
    <t>November</t>
  </si>
  <si>
    <t>A 11</t>
  </si>
  <si>
    <t>Year 2029</t>
  </si>
  <si>
    <t>December</t>
  </si>
  <si>
    <t>A 12</t>
  </si>
  <si>
    <t>Year 2030</t>
  </si>
  <si>
    <t>Operator</t>
  </si>
  <si>
    <t>Operators</t>
  </si>
  <si>
    <t>Type</t>
  </si>
  <si>
    <t>Performs</t>
  </si>
  <si>
    <t>BODMAS</t>
  </si>
  <si>
    <t>+</t>
  </si>
  <si>
    <t>Arithmetic</t>
  </si>
  <si>
    <t>Addition</t>
  </si>
  <si>
    <t>-</t>
  </si>
  <si>
    <t>Subtraction</t>
  </si>
  <si>
    <t>*</t>
  </si>
  <si>
    <t>Multiplication</t>
  </si>
  <si>
    <t>/</t>
  </si>
  <si>
    <t>Division</t>
  </si>
  <si>
    <t>%</t>
  </si>
  <si>
    <t>Percent</t>
  </si>
  <si>
    <t>^</t>
  </si>
  <si>
    <t>Exponentiation</t>
  </si>
  <si>
    <t>=</t>
  </si>
  <si>
    <t>Comparison</t>
  </si>
  <si>
    <t>Equal to</t>
  </si>
  <si>
    <t>&lt;&gt;</t>
  </si>
  <si>
    <t>Not equal to</t>
  </si>
  <si>
    <t>&gt;</t>
  </si>
  <si>
    <t>Greater than</t>
  </si>
  <si>
    <t>&gt;=</t>
  </si>
  <si>
    <t>Greater than or equal to</t>
  </si>
  <si>
    <t>&lt;</t>
  </si>
  <si>
    <t>Less than</t>
  </si>
  <si>
    <t>&lt;=</t>
  </si>
  <si>
    <t>Less than or equal to</t>
  </si>
  <si>
    <t>:</t>
  </si>
  <si>
    <t>Reference</t>
  </si>
  <si>
    <r>
      <t xml:space="preserve">Range of contiguous cells </t>
    </r>
    <r>
      <rPr>
        <sz val="10"/>
        <color indexed="23"/>
        <rFont val="Arial"/>
        <family val="2"/>
      </rPr>
      <t xml:space="preserve">(e.g. A1:B10 means </t>
    </r>
    <r>
      <rPr>
        <i/>
        <sz val="10"/>
        <color indexed="23"/>
        <rFont val="Arial"/>
        <family val="2"/>
      </rPr>
      <t>from</t>
    </r>
    <r>
      <rPr>
        <sz val="10"/>
        <color indexed="23"/>
        <rFont val="Arial"/>
        <family val="2"/>
      </rPr>
      <t xml:space="preserve"> A1 </t>
    </r>
    <r>
      <rPr>
        <i/>
        <sz val="10"/>
        <color indexed="23"/>
        <rFont val="Arial"/>
        <family val="2"/>
      </rPr>
      <t>to</t>
    </r>
    <r>
      <rPr>
        <sz val="10"/>
        <color indexed="23"/>
        <rFont val="Arial"/>
        <family val="2"/>
      </rPr>
      <t xml:space="preserve"> B10)</t>
    </r>
  </si>
  <si>
    <t>,</t>
  </si>
  <si>
    <r>
      <t xml:space="preserve">Range of non-contiguous cells </t>
    </r>
    <r>
      <rPr>
        <sz val="10"/>
        <color indexed="23"/>
        <rFont val="Arial"/>
        <family val="2"/>
      </rPr>
      <t xml:space="preserve">(e.g. A1, B2 means A1 </t>
    </r>
    <r>
      <rPr>
        <i/>
        <sz val="10"/>
        <color indexed="23"/>
        <rFont val="Arial"/>
        <family val="2"/>
      </rPr>
      <t>and</t>
    </r>
    <r>
      <rPr>
        <sz val="10"/>
        <color indexed="23"/>
        <rFont val="Arial"/>
        <family val="2"/>
      </rPr>
      <t xml:space="preserve"> B2)</t>
    </r>
  </si>
  <si>
    <t>[space]</t>
  </si>
  <si>
    <t>Intersection operator, calculates the overlapping cells in two ranges.</t>
  </si>
  <si>
    <t>&amp;</t>
  </si>
  <si>
    <t>Text</t>
  </si>
  <si>
    <r>
      <t xml:space="preserve">Concatenate </t>
    </r>
    <r>
      <rPr>
        <sz val="10"/>
        <color indexed="23"/>
        <rFont val="Arial"/>
        <family val="2"/>
      </rPr>
      <t>(join together)</t>
    </r>
    <r>
      <rPr>
        <sz val="10"/>
        <rFont val="Arial"/>
        <family val="2"/>
      </rPr>
      <t xml:space="preserve"> the values in two or more cells.</t>
    </r>
  </si>
  <si>
    <t>( )</t>
  </si>
  <si>
    <t>Brackets</t>
  </si>
  <si>
    <t>{ }</t>
  </si>
  <si>
    <t>Array</t>
  </si>
  <si>
    <t>Curly Brackets</t>
  </si>
  <si>
    <t>Relative Reference</t>
  </si>
  <si>
    <t>Months</t>
  </si>
  <si>
    <t>Sales</t>
  </si>
  <si>
    <t>Commission</t>
  </si>
  <si>
    <t>Jan</t>
  </si>
  <si>
    <t>Absolute Reference</t>
  </si>
  <si>
    <t>Feb</t>
  </si>
  <si>
    <t>Mix Reference</t>
  </si>
  <si>
    <t>Mar</t>
  </si>
  <si>
    <t>Apr</t>
  </si>
  <si>
    <t>Jun</t>
  </si>
  <si>
    <t>Jul</t>
  </si>
  <si>
    <t>Aug</t>
  </si>
  <si>
    <t>Sep</t>
  </si>
  <si>
    <t>Oct</t>
  </si>
  <si>
    <t>Nov</t>
  </si>
  <si>
    <t>Dec</t>
  </si>
  <si>
    <t>City</t>
  </si>
  <si>
    <t>Product</t>
  </si>
  <si>
    <t>Invoice Date</t>
  </si>
  <si>
    <t>Revenue</t>
  </si>
  <si>
    <t>MIDWEST</t>
  </si>
  <si>
    <t>OKLAHOMA CITY</t>
  </si>
  <si>
    <t>Housekeeping</t>
  </si>
  <si>
    <t>Range Name</t>
  </si>
  <si>
    <t>NORTH</t>
  </si>
  <si>
    <t>QUEENS</t>
  </si>
  <si>
    <t>SOUTH</t>
  </si>
  <si>
    <t>CARTERSVILLE</t>
  </si>
  <si>
    <t>HATTIESBURG</t>
  </si>
  <si>
    <t>RICHLAND</t>
  </si>
  <si>
    <t>MORROW</t>
  </si>
  <si>
    <t>MARSHALLTOWN</t>
  </si>
  <si>
    <t>AUBURN HILLS</t>
  </si>
  <si>
    <t>WEST</t>
  </si>
  <si>
    <t>SEATTLE</t>
  </si>
  <si>
    <t>ANDERSON</t>
  </si>
  <si>
    <t>NAPA</t>
  </si>
  <si>
    <t>PHOENIX</t>
  </si>
  <si>
    <t>STERLING HGTS</t>
  </si>
  <si>
    <t>HUGER</t>
  </si>
  <si>
    <t>ROCKAWAY</t>
  </si>
  <si>
    <t>LIVONIA</t>
  </si>
  <si>
    <t>LATROBE</t>
  </si>
  <si>
    <t>ENID</t>
  </si>
  <si>
    <t>DETROIT</t>
  </si>
  <si>
    <t>TROY</t>
  </si>
  <si>
    <t>SOMERSET</t>
  </si>
  <si>
    <t>LIMA</t>
  </si>
  <si>
    <t>OXNARD</t>
  </si>
  <si>
    <t>GREENVILLE</t>
  </si>
  <si>
    <t>BROKEN ARROW</t>
  </si>
  <si>
    <t>DUNBRIDGE</t>
  </si>
  <si>
    <t>ALPHARETTA</t>
  </si>
  <si>
    <t>Repair</t>
  </si>
  <si>
    <t>POCATELLO</t>
  </si>
  <si>
    <t>APPLE VALLEY</t>
  </si>
  <si>
    <t>NORTH CHARLESTON</t>
  </si>
  <si>
    <t>MCDONOUGH</t>
  </si>
  <si>
    <t>MAPLETON</t>
  </si>
  <si>
    <t>GORDON</t>
  </si>
  <si>
    <t>PEARL</t>
  </si>
  <si>
    <t>JASPER</t>
  </si>
  <si>
    <t>WOODLAND</t>
  </si>
  <si>
    <t>BYRON</t>
  </si>
  <si>
    <t>TEMECULA</t>
  </si>
  <si>
    <t>GILLETTE</t>
  </si>
  <si>
    <t>W SACRAMENTO</t>
  </si>
  <si>
    <t>LAS VEGAS</t>
  </si>
  <si>
    <t>ODESSA</t>
  </si>
  <si>
    <t>HOLLIDAY</t>
  </si>
  <si>
    <t>SPARTANBURG</t>
  </si>
  <si>
    <t>WOODRIDGE</t>
  </si>
  <si>
    <t>CARLSTADT</t>
  </si>
  <si>
    <t>LITTLETON</t>
  </si>
  <si>
    <t>ERIE</t>
  </si>
  <si>
    <t>SONORA</t>
  </si>
  <si>
    <t>LINCOLN</t>
  </si>
  <si>
    <t>VISTA</t>
  </si>
  <si>
    <t>LAURENS</t>
  </si>
  <si>
    <t>TEANECK</t>
  </si>
  <si>
    <t>GREEN BROOK</t>
  </si>
  <si>
    <t>IMPERIAL</t>
  </si>
  <si>
    <t>COLUMBUS</t>
  </si>
  <si>
    <t>CRESTLINE</t>
  </si>
  <si>
    <t>SUMMERVILLE</t>
  </si>
  <si>
    <t>DENVER</t>
  </si>
  <si>
    <t>AUBURN</t>
  </si>
  <si>
    <t>JERSEYVILLE</t>
  </si>
  <si>
    <t>FAIRFIELD</t>
  </si>
  <si>
    <t>BATH</t>
  </si>
  <si>
    <t>COLUSA</t>
  </si>
  <si>
    <t>WEST HAVERSTRAW</t>
  </si>
  <si>
    <t>GOLD HILL</t>
  </si>
  <si>
    <t>JACKSON</t>
  </si>
  <si>
    <t>KENNESAW</t>
  </si>
  <si>
    <t>EL CAJON</t>
  </si>
  <si>
    <t>SAN DIEGO</t>
  </si>
  <si>
    <t>BLOOMFIELD</t>
  </si>
  <si>
    <t>HESPERIA</t>
  </si>
  <si>
    <t>DUBOIS</t>
  </si>
  <si>
    <t>CHARLESTON</t>
  </si>
  <si>
    <t>TUCKER</t>
  </si>
  <si>
    <t>WAYNE</t>
  </si>
  <si>
    <t>SANDUSKY</t>
  </si>
  <si>
    <t>SMYRNA</t>
  </si>
  <si>
    <t>STAR</t>
  </si>
  <si>
    <t>LEMAY</t>
  </si>
  <si>
    <t>ATLANTA</t>
  </si>
  <si>
    <t>FREMONT</t>
  </si>
  <si>
    <t>RIVERSIDE</t>
  </si>
  <si>
    <t>W BRANCH</t>
  </si>
  <si>
    <t>SAN BERNADINO</t>
  </si>
  <si>
    <t>CASPER</t>
  </si>
  <si>
    <t>SOUTH PLAINFIELD</t>
  </si>
  <si>
    <t>MESA</t>
  </si>
  <si>
    <t>HATTISBURG</t>
  </si>
  <si>
    <t>ALPENA</t>
  </si>
  <si>
    <t>ELIZABETH</t>
  </si>
  <si>
    <t>FOREST CITY</t>
  </si>
  <si>
    <t>MIDDLETOWN</t>
  </si>
  <si>
    <t>FERNWOOD</t>
  </si>
  <si>
    <t>BRIDGEPORT</t>
  </si>
  <si>
    <t>HARTWELL</t>
  </si>
  <si>
    <t>LOGAN</t>
  </si>
  <si>
    <t>STEAMBOAT SPRINGS</t>
  </si>
  <si>
    <t>SIOUX FALLS</t>
  </si>
  <si>
    <t>EUREKA</t>
  </si>
  <si>
    <t>LONGMONT</t>
  </si>
  <si>
    <t>HEALDSBURG</t>
  </si>
  <si>
    <t>SAN FRANCISCO</t>
  </si>
  <si>
    <t>PALM DESERT</t>
  </si>
  <si>
    <t>CLIFTON</t>
  </si>
  <si>
    <t>SANDY</t>
  </si>
  <si>
    <t>LITHIA SPRINGS</t>
  </si>
  <si>
    <t>NAMPA</t>
  </si>
  <si>
    <t>NATIONAL CITY</t>
  </si>
  <si>
    <t>GAYLORD</t>
  </si>
  <si>
    <t>HAWTHORNE</t>
  </si>
  <si>
    <t>SAGINAW</t>
  </si>
  <si>
    <t>TOCCOA</t>
  </si>
  <si>
    <t>PHELAN</t>
  </si>
  <si>
    <t>GLENDALE</t>
  </si>
  <si>
    <t>CHESTER</t>
  </si>
  <si>
    <t>WASHINGTONVILLE</t>
  </si>
  <si>
    <t>SAINT CHARLES</t>
  </si>
  <si>
    <t>BRAWLEY</t>
  </si>
  <si>
    <t>PARKHILL</t>
  </si>
  <si>
    <t>Maintenance</t>
  </si>
  <si>
    <t>LEMARS</t>
  </si>
  <si>
    <t>ORLANDO</t>
  </si>
  <si>
    <t>WAVERLY</t>
  </si>
  <si>
    <t>WEST PALM BEACH</t>
  </si>
  <si>
    <t>FT STOCKTON</t>
  </si>
  <si>
    <t>SALT LAKE CITY</t>
  </si>
  <si>
    <t>YONKERS</t>
  </si>
  <si>
    <t>NAPLES</t>
  </si>
  <si>
    <t>FORT MYERS</t>
  </si>
  <si>
    <t>OCALA</t>
  </si>
  <si>
    <t>GRIMES</t>
  </si>
  <si>
    <t>JUSTIN</t>
  </si>
  <si>
    <t>JERSEY CITY</t>
  </si>
  <si>
    <t>CUSHING</t>
  </si>
  <si>
    <t>HUDSON</t>
  </si>
  <si>
    <t>FT LAUDERDALE</t>
  </si>
  <si>
    <t>OKEECHOBEE</t>
  </si>
  <si>
    <t>PALO VERDE</t>
  </si>
  <si>
    <t>SANTA ROSA</t>
  </si>
  <si>
    <t>GREENWOOD</t>
  </si>
  <si>
    <t>ALPHARETA</t>
  </si>
  <si>
    <t>JUPITER</t>
  </si>
  <si>
    <t>TUCSON</t>
  </si>
  <si>
    <t>TUTTLE</t>
  </si>
  <si>
    <t>GAINESVILLE</t>
  </si>
  <si>
    <t>ASHEVILLE</t>
  </si>
  <si>
    <t>SANFORD</t>
  </si>
  <si>
    <t>REDDING</t>
  </si>
  <si>
    <t>ELECTRA</t>
  </si>
  <si>
    <t>BOISE</t>
  </si>
  <si>
    <t>MERIDIAN</t>
  </si>
  <si>
    <t>TAMPA</t>
  </si>
  <si>
    <t>KOSCIUSKO</t>
  </si>
  <si>
    <t>RICHMOND</t>
  </si>
  <si>
    <t>HOLLY HILL</t>
  </si>
  <si>
    <t>SALINA</t>
  </si>
  <si>
    <t>SAN RAFAEL</t>
  </si>
  <si>
    <t>LAND O' LAKES</t>
  </si>
  <si>
    <t>DAYTONA BEACH</t>
  </si>
  <si>
    <t>RIVIERA BEACH</t>
  </si>
  <si>
    <t>STURGIS</t>
  </si>
  <si>
    <t>EAST BRUNSWICK</t>
  </si>
  <si>
    <t>RUSKIN</t>
  </si>
  <si>
    <t>SPRING VALLEY</t>
  </si>
  <si>
    <t>CHICO</t>
  </si>
  <si>
    <t>CHIEFLAND</t>
  </si>
  <si>
    <t>WICHITA</t>
  </si>
  <si>
    <t>RUTHERFORDTON</t>
  </si>
  <si>
    <t>CEDAR FALLS</t>
  </si>
  <si>
    <t>ALMA</t>
  </si>
  <si>
    <t>WATERFORD</t>
  </si>
  <si>
    <t>MOUNT PLEASANT</t>
  </si>
  <si>
    <t>EDISON</t>
  </si>
  <si>
    <t>GRANBY</t>
  </si>
  <si>
    <t>WICHITA FALLS</t>
  </si>
  <si>
    <t>MARION</t>
  </si>
  <si>
    <t>ELBERTON</t>
  </si>
  <si>
    <t>CARLSBAD</t>
  </si>
  <si>
    <t>PERRIS</t>
  </si>
  <si>
    <t>SEBRING</t>
  </si>
  <si>
    <t>MUSKOGEE</t>
  </si>
  <si>
    <t>WEST DES MOINES</t>
  </si>
  <si>
    <t>OPA LOCKA</t>
  </si>
  <si>
    <t>PLACERVILLE</t>
  </si>
  <si>
    <t>CHANDLER</t>
  </si>
  <si>
    <t>PISCATAWAY</t>
  </si>
  <si>
    <t>PERRY</t>
  </si>
  <si>
    <t>GREER</t>
  </si>
  <si>
    <t>LAKE HAVASU CITY</t>
  </si>
  <si>
    <t>MIDLAND</t>
  </si>
  <si>
    <t>CHARLESTON HTS</t>
  </si>
  <si>
    <t>DAWSONVILLE</t>
  </si>
  <si>
    <t>MARATHON</t>
  </si>
  <si>
    <t>SANTEE</t>
  </si>
  <si>
    <t>MIAMI</t>
  </si>
  <si>
    <t>VICKSBURG</t>
  </si>
  <si>
    <t>APOPKA</t>
  </si>
  <si>
    <t>STANFIELD</t>
  </si>
  <si>
    <t>PORT ORANGE</t>
  </si>
  <si>
    <t>MEDLEY</t>
  </si>
  <si>
    <t>EL DORADO</t>
  </si>
  <si>
    <t>GEORGETOWN</t>
  </si>
  <si>
    <t>HOLYOKE</t>
  </si>
  <si>
    <t>GARRETSON</t>
  </si>
  <si>
    <t>PRATT</t>
  </si>
  <si>
    <t>CLEARFIELD</t>
  </si>
  <si>
    <t>CAMARILLO</t>
  </si>
  <si>
    <t>MADISON</t>
  </si>
  <si>
    <t>HOMESTEAD</t>
  </si>
  <si>
    <t>POINCIANA</t>
  </si>
  <si>
    <t>FLOWOOD</t>
  </si>
  <si>
    <t>VALLEY</t>
  </si>
  <si>
    <t>IDAHO FALLS</t>
  </si>
  <si>
    <t>WACO</t>
  </si>
  <si>
    <t>TYRONE</t>
  </si>
  <si>
    <t>WOODWARD</t>
  </si>
  <si>
    <t>BRONX</t>
  </si>
  <si>
    <t>LOVINGTON</t>
  </si>
  <si>
    <t>WEATHERFORD</t>
  </si>
  <si>
    <t>CARNESVILLE</t>
  </si>
  <si>
    <t>BRADENTON</t>
  </si>
  <si>
    <t>OCEANSIDE</t>
  </si>
  <si>
    <t>POMPANO BEACH</t>
  </si>
  <si>
    <t>EAST FREEDOM</t>
  </si>
  <si>
    <t>DIAMOND SPRINGS</t>
  </si>
  <si>
    <t>PONTIAC</t>
  </si>
  <si>
    <t>WATERLOO</t>
  </si>
  <si>
    <t>ESCONDIDO</t>
  </si>
  <si>
    <t>OROVILLE</t>
  </si>
  <si>
    <t>NORMAN</t>
  </si>
  <si>
    <t>CUMMING</t>
  </si>
  <si>
    <t>LAKE PARK</t>
  </si>
  <si>
    <t>GLEN CARBON</t>
  </si>
  <si>
    <t>COLFAX</t>
  </si>
  <si>
    <t>IRVINGTON</t>
  </si>
  <si>
    <t>TEMPE</t>
  </si>
  <si>
    <t>ALPINE</t>
  </si>
  <si>
    <t>ELK CITY</t>
  </si>
  <si>
    <t>SAN MARCOS</t>
  </si>
  <si>
    <t>ROCHESTER</t>
  </si>
  <si>
    <t>Foliage Care</t>
  </si>
  <si>
    <t>MERCED</t>
  </si>
  <si>
    <t>NEW YORK CITY</t>
  </si>
  <si>
    <t>ROSEMEAD</t>
  </si>
  <si>
    <t>SACRAMENTO</t>
  </si>
  <si>
    <t>TURLOCK</t>
  </si>
  <si>
    <t>FLINT</t>
  </si>
  <si>
    <t>FONTANA</t>
  </si>
  <si>
    <t>SANTA FE SPRINGS</t>
  </si>
  <si>
    <t>HUGHSON</t>
  </si>
  <si>
    <t>CLEARWATER</t>
  </si>
  <si>
    <t>STOCKTON</t>
  </si>
  <si>
    <t>ENGLEWOOD</t>
  </si>
  <si>
    <t>ANGELUS OAKS</t>
  </si>
  <si>
    <t>COMMERCE</t>
  </si>
  <si>
    <t>MURRIETTA</t>
  </si>
  <si>
    <t>RIALTO</t>
  </si>
  <si>
    <t>REDLANDS</t>
  </si>
  <si>
    <t>LAKE ELSINORE</t>
  </si>
  <si>
    <t>SIMI VALLEY</t>
  </si>
  <si>
    <t>THOUSAND OAKS</t>
  </si>
  <si>
    <t>CHINO</t>
  </si>
  <si>
    <t>MONTCLAIR</t>
  </si>
  <si>
    <t>MURRIETA</t>
  </si>
  <si>
    <t>STEPHENVILLE</t>
  </si>
  <si>
    <t>MIRA LOMA</t>
  </si>
  <si>
    <t>NEW KENSINGTON</t>
  </si>
  <si>
    <t>ST. PETERSBURG</t>
  </si>
  <si>
    <t>WEISER</t>
  </si>
  <si>
    <t>ROYAL PALM BEACH</t>
  </si>
  <si>
    <t>CITY OF INDUSTRY</t>
  </si>
  <si>
    <t>ROCKLIN</t>
  </si>
  <si>
    <t>ONTARIO</t>
  </si>
  <si>
    <t>BRYAN</t>
  </si>
  <si>
    <t>EUPORA</t>
  </si>
  <si>
    <t>PETALUMA</t>
  </si>
  <si>
    <t>KEOSAUQUA</t>
  </si>
  <si>
    <t>BAD AXE</t>
  </si>
  <si>
    <t>MENIFEE</t>
  </si>
  <si>
    <t>SAN LUIS OBISPO</t>
  </si>
  <si>
    <t>ARCADE</t>
  </si>
  <si>
    <t>INDUSTRY</t>
  </si>
  <si>
    <t>MOUNT VERNON</t>
  </si>
  <si>
    <t>MATHER</t>
  </si>
  <si>
    <t>MODESTO</t>
  </si>
  <si>
    <t>Landscaping</t>
  </si>
  <si>
    <t>MORENO VALLEY</t>
  </si>
  <si>
    <t>CAHOKIA</t>
  </si>
  <si>
    <t>FORT LAUDERDALE</t>
  </si>
  <si>
    <t>TOLEDO</t>
  </si>
  <si>
    <t>WALDEN</t>
  </si>
  <si>
    <t>IOLA</t>
  </si>
  <si>
    <t>MONROE</t>
  </si>
  <si>
    <t>PALM CITY</t>
  </si>
  <si>
    <t>JOHNSTOWN</t>
  </si>
  <si>
    <t>TINTON FALLS</t>
  </si>
  <si>
    <t>BROOKLYN</t>
  </si>
  <si>
    <t>DENTON</t>
  </si>
  <si>
    <t>MOUNDRIDGE</t>
  </si>
  <si>
    <t>GOLDEN</t>
  </si>
  <si>
    <t>GOSHEN</t>
  </si>
  <si>
    <t>AURORA</t>
  </si>
  <si>
    <t>OMAHA</t>
  </si>
  <si>
    <t>SURPRISE</t>
  </si>
  <si>
    <t>NORTHVALE</t>
  </si>
  <si>
    <t>CLEARLAKE</t>
  </si>
  <si>
    <t>EVERETT</t>
  </si>
  <si>
    <t>CHURCHVILLE</t>
  </si>
  <si>
    <t>FLORISSANT</t>
  </si>
  <si>
    <t>MENA</t>
  </si>
  <si>
    <t>WARREN</t>
  </si>
  <si>
    <t>WINTER PARK</t>
  </si>
  <si>
    <t>Lectures from 14,15,16,17,18,19,20,21,22</t>
  </si>
  <si>
    <t>Format as table</t>
  </si>
  <si>
    <t>Data Automation</t>
  </si>
  <si>
    <t>Join Text via TextJoin Function</t>
  </si>
  <si>
    <t>First Name</t>
  </si>
  <si>
    <t>Last Name</t>
  </si>
  <si>
    <t>Code</t>
  </si>
  <si>
    <t>TextJoin</t>
  </si>
  <si>
    <t>PK01</t>
  </si>
  <si>
    <t>Khi02</t>
  </si>
  <si>
    <t>Abdullah</t>
  </si>
  <si>
    <t>PK02</t>
  </si>
  <si>
    <t>Lhr03</t>
  </si>
  <si>
    <t>Hashmi</t>
  </si>
  <si>
    <t>PK05</t>
  </si>
  <si>
    <t>Isl01</t>
  </si>
  <si>
    <t>Zahra</t>
  </si>
  <si>
    <t>Salman</t>
  </si>
  <si>
    <t>Khi04</t>
  </si>
  <si>
    <t>Nathani</t>
  </si>
  <si>
    <t>Isl06</t>
  </si>
  <si>
    <t xml:space="preserve">concatenation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</si>
</sst>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_(* #,##0_);_(* \(#,##0\);_(* &quot;-&quot;??_);_(@_)"/>
    <numFmt numFmtId="168" formatCode="&quot;$&quot;#,##0.00_);\(&quot;$&quot;#,##0.00\)"/>
  </numFmts>
  <fonts count="33" x14ac:knownFonts="1">
    <font>
      <sz val="11"/>
      <color theme="1"/>
      <name val="Aptos Narrow"/>
      <family val="2"/>
      <scheme val="minor"/>
    </font>
    <font>
      <b/>
      <sz val="11"/>
      <color theme="1"/>
      <name val="Aptos Narrow"/>
      <family val="2"/>
      <scheme val="minor"/>
    </font>
    <font>
      <b/>
      <sz val="12"/>
      <color theme="1"/>
      <name val="Aptos Narrow"/>
      <family val="2"/>
      <scheme val="minor"/>
    </font>
    <font>
      <b/>
      <sz val="12"/>
      <color theme="6" tint="-0.499984740745262"/>
      <name val="Aptos Narrow"/>
      <family val="2"/>
      <scheme val="minor"/>
    </font>
    <font>
      <b/>
      <sz val="16"/>
      <color theme="1"/>
      <name val="Aptos Narrow"/>
      <family val="2"/>
      <scheme val="minor"/>
    </font>
    <font>
      <sz val="10"/>
      <name val="Times New Roman"/>
      <family val="1"/>
    </font>
    <font>
      <b/>
      <sz val="10"/>
      <color indexed="9"/>
      <name val="Times New Roman"/>
      <family val="1"/>
    </font>
    <font>
      <sz val="10"/>
      <color rgb="FFFF0000"/>
      <name val="Times New Roman"/>
      <family val="1"/>
    </font>
    <font>
      <b/>
      <u/>
      <sz val="11"/>
      <color theme="1"/>
      <name val="Aptos Narrow"/>
      <family val="2"/>
      <scheme val="minor"/>
    </font>
    <font>
      <sz val="10"/>
      <name val="Arial"/>
      <family val="2"/>
    </font>
    <font>
      <b/>
      <sz val="10"/>
      <color theme="1"/>
      <name val="Aptos Narrow"/>
      <family val="2"/>
      <scheme val="minor"/>
    </font>
    <font>
      <b/>
      <sz val="11"/>
      <color indexed="9"/>
      <name val="Arial"/>
      <family val="2"/>
    </font>
    <font>
      <sz val="11"/>
      <color indexed="8"/>
      <name val="Arial"/>
      <family val="2"/>
    </font>
    <font>
      <sz val="11"/>
      <color theme="1"/>
      <name val="Aptos Narrow"/>
      <family val="2"/>
      <scheme val="minor"/>
    </font>
    <font>
      <b/>
      <sz val="11"/>
      <color rgb="FFFF0000"/>
      <name val="Aptos Narrow"/>
      <family val="2"/>
      <scheme val="minor"/>
    </font>
    <font>
      <b/>
      <sz val="11"/>
      <color indexed="8"/>
      <name val="Calibri"/>
      <family val="2"/>
    </font>
    <font>
      <sz val="11"/>
      <color indexed="8"/>
      <name val="Calibri"/>
      <family val="2"/>
    </font>
    <font>
      <b/>
      <sz val="11"/>
      <color indexed="8"/>
      <name val="Arial"/>
      <family val="2"/>
    </font>
    <font>
      <sz val="9"/>
      <color indexed="10"/>
      <name val="Arial"/>
      <family val="2"/>
    </font>
    <font>
      <b/>
      <sz val="10"/>
      <name val="Arial"/>
      <family val="2"/>
    </font>
    <font>
      <b/>
      <sz val="10"/>
      <color indexed="23"/>
      <name val="Arial"/>
      <family val="2"/>
    </font>
    <font>
      <sz val="9"/>
      <color indexed="23"/>
      <name val="Arial"/>
      <family val="2"/>
    </font>
    <font>
      <b/>
      <sz val="9"/>
      <color indexed="12"/>
      <name val="Arial"/>
      <family val="2"/>
    </font>
    <font>
      <sz val="10"/>
      <color indexed="12"/>
      <name val="Arial"/>
      <family val="2"/>
    </font>
    <font>
      <sz val="10"/>
      <color indexed="23"/>
      <name val="Arial"/>
      <family val="2"/>
    </font>
    <font>
      <i/>
      <sz val="10"/>
      <color indexed="23"/>
      <name val="Arial"/>
      <family val="2"/>
    </font>
    <font>
      <sz val="12"/>
      <color theme="1"/>
      <name val="Aptos Narrow"/>
      <family val="2"/>
      <scheme val="minor"/>
    </font>
    <font>
      <b/>
      <sz val="12"/>
      <color indexed="8"/>
      <name val="Calibri"/>
      <family val="2"/>
    </font>
    <font>
      <sz val="12"/>
      <color indexed="8"/>
      <name val="Calibri"/>
      <family val="2"/>
    </font>
    <font>
      <b/>
      <sz val="8.5"/>
      <name val="MS Sans Serif"/>
      <family val="2"/>
    </font>
    <font>
      <sz val="8.5"/>
      <name val="MS Sans Serif"/>
      <family val="2"/>
    </font>
    <font>
      <b/>
      <sz val="11"/>
      <name val="Aptos Narrow"/>
      <family val="2"/>
      <scheme val="minor"/>
    </font>
    <font>
      <sz val="11"/>
      <name val="Calibri"/>
      <family val="2"/>
    </font>
  </fonts>
  <fills count="11">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9" tint="0.79998168889431442"/>
        <bgColor indexed="64"/>
      </patternFill>
    </fill>
    <fill>
      <patternFill patternType="solid">
        <fgColor indexed="8"/>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indexed="30"/>
        <bgColor indexed="64"/>
      </patternFill>
    </fill>
  </fills>
  <borders count="12">
    <border>
      <left/>
      <right/>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9"/>
      </left>
      <right style="medium">
        <color indexed="9"/>
      </right>
      <top style="medium">
        <color indexed="9"/>
      </top>
      <bottom/>
      <diagonal/>
    </border>
    <border>
      <left style="medium">
        <color indexed="9"/>
      </left>
      <right style="medium">
        <color indexed="9"/>
      </right>
      <top/>
      <bottom style="medium">
        <color indexed="9"/>
      </bottom>
      <diagonal/>
    </border>
    <border>
      <left style="medium">
        <color indexed="9"/>
      </left>
      <right style="medium">
        <color indexed="9"/>
      </right>
      <top style="medium">
        <color indexed="9"/>
      </top>
      <bottom style="medium">
        <color indexed="22"/>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22"/>
      </top>
      <bottom/>
      <diagonal/>
    </border>
  </borders>
  <cellStyleXfs count="6">
    <xf numFmtId="0" fontId="0" fillId="0" borderId="0"/>
    <xf numFmtId="0" fontId="5" fillId="0" borderId="0"/>
    <xf numFmtId="0" fontId="9" fillId="0" borderId="0"/>
    <xf numFmtId="43" fontId="13" fillId="0" borderId="0" applyFont="0" applyFill="0" applyBorder="0" applyAlignment="0" applyProtection="0"/>
    <xf numFmtId="0" fontId="9" fillId="0" borderId="0"/>
    <xf numFmtId="164" fontId="16" fillId="0" borderId="0" applyFont="0" applyFill="0" applyBorder="0" applyAlignment="0" applyProtection="0"/>
  </cellStyleXfs>
  <cellXfs count="84">
    <xf numFmtId="0" fontId="0" fillId="0" borderId="0" xfId="0"/>
    <xf numFmtId="0" fontId="1" fillId="4" borderId="0" xfId="0" applyFont="1" applyFill="1" applyAlignment="1">
      <alignment horizontal="center" vertical="center"/>
    </xf>
    <xf numFmtId="0" fontId="1" fillId="4" borderId="0" xfId="0" applyFont="1" applyFill="1"/>
    <xf numFmtId="0" fontId="0" fillId="5" borderId="0" xfId="0" applyFill="1"/>
    <xf numFmtId="0" fontId="1" fillId="5" borderId="0" xfId="0" applyFont="1" applyFill="1"/>
    <xf numFmtId="0" fontId="0" fillId="0" borderId="0" xfId="0" applyAlignment="1"/>
    <xf numFmtId="0" fontId="6" fillId="7" borderId="1" xfId="1" applyFont="1" applyFill="1" applyBorder="1" applyAlignment="1">
      <alignment horizontal="center"/>
    </xf>
    <xf numFmtId="0" fontId="6" fillId="7" borderId="2" xfId="1" applyFont="1" applyFill="1" applyBorder="1" applyAlignment="1">
      <alignment horizontal="center"/>
    </xf>
    <xf numFmtId="0" fontId="5" fillId="0" borderId="3" xfId="1" applyBorder="1"/>
    <xf numFmtId="0" fontId="5" fillId="0" borderId="4" xfId="1" applyBorder="1"/>
    <xf numFmtId="0" fontId="7" fillId="0" borderId="4" xfId="1" applyFont="1" applyBorder="1"/>
    <xf numFmtId="0" fontId="8" fillId="0" borderId="0" xfId="0" applyFont="1"/>
    <xf numFmtId="0" fontId="9" fillId="0" borderId="0" xfId="2"/>
    <xf numFmtId="0" fontId="10" fillId="8" borderId="5" xfId="0" applyFont="1" applyFill="1" applyBorder="1"/>
    <xf numFmtId="0" fontId="0" fillId="0" borderId="5" xfId="0" applyBorder="1"/>
    <xf numFmtId="9" fontId="0" fillId="0" borderId="5" xfId="0" applyNumberFormat="1" applyBorder="1"/>
    <xf numFmtId="0" fontId="1" fillId="0" borderId="0" xfId="0" applyFont="1"/>
    <xf numFmtId="0" fontId="1" fillId="9" borderId="0" xfId="0" applyFont="1" applyFill="1"/>
    <xf numFmtId="0" fontId="0" fillId="2" borderId="0" xfId="0" applyFill="1"/>
    <xf numFmtId="9" fontId="0" fillId="0" borderId="0" xfId="0" applyNumberFormat="1"/>
    <xf numFmtId="0" fontId="11" fillId="10" borderId="6" xfId="0" applyFont="1" applyFill="1" applyBorder="1" applyAlignment="1">
      <alignment horizontal="center" vertical="center"/>
    </xf>
    <xf numFmtId="0" fontId="11" fillId="10" borderId="7" xfId="0" applyFont="1" applyFill="1" applyBorder="1" applyAlignment="1">
      <alignment horizontal="center" vertical="center"/>
    </xf>
    <xf numFmtId="0" fontId="12" fillId="0" borderId="8" xfId="0" applyFont="1" applyBorder="1" applyAlignment="1">
      <alignment horizontal="left" vertical="top"/>
    </xf>
    <xf numFmtId="15" fontId="12" fillId="0" borderId="8" xfId="0" applyNumberFormat="1" applyFont="1" applyBorder="1" applyAlignment="1">
      <alignment vertical="top"/>
    </xf>
    <xf numFmtId="0" fontId="12" fillId="0" borderId="8" xfId="0" applyFont="1" applyBorder="1" applyAlignment="1">
      <alignment vertical="top"/>
    </xf>
    <xf numFmtId="3" fontId="12" fillId="0" borderId="8" xfId="0" applyNumberFormat="1" applyFont="1" applyBorder="1" applyAlignment="1">
      <alignment horizontal="right" vertical="top"/>
    </xf>
    <xf numFmtId="0" fontId="12" fillId="0" borderId="8" xfId="0" applyFont="1" applyBorder="1" applyAlignment="1">
      <alignment horizontal="left" vertical="top" wrapText="1"/>
    </xf>
    <xf numFmtId="3" fontId="12" fillId="0" borderId="8" xfId="0" applyNumberFormat="1" applyFont="1" applyBorder="1" applyAlignment="1">
      <alignment horizontal="right" vertical="top" wrapText="1"/>
    </xf>
    <xf numFmtId="0" fontId="12" fillId="0" borderId="8" xfId="0" applyFont="1" applyBorder="1" applyAlignment="1">
      <alignment horizontal="right" vertical="top" wrapText="1"/>
    </xf>
    <xf numFmtId="3" fontId="0" fillId="0" borderId="0" xfId="0" applyNumberFormat="1"/>
    <xf numFmtId="0" fontId="11" fillId="10" borderId="6" xfId="0" applyFont="1" applyFill="1" applyBorder="1" applyAlignment="1">
      <alignment horizontal="center" vertical="center"/>
    </xf>
    <xf numFmtId="0" fontId="11" fillId="10" borderId="7" xfId="0" applyFont="1" applyFill="1" applyBorder="1" applyAlignment="1">
      <alignment horizontal="center" vertical="center"/>
    </xf>
    <xf numFmtId="0" fontId="3" fillId="2" borderId="0" xfId="0" applyFont="1" applyFill="1" applyAlignment="1">
      <alignment horizontal="center" vertical="center" wrapText="1"/>
    </xf>
    <xf numFmtId="0" fontId="2" fillId="3" borderId="0" xfId="0" applyFont="1" applyFill="1" applyAlignment="1">
      <alignment horizontal="center"/>
    </xf>
    <xf numFmtId="0" fontId="4" fillId="6" borderId="0" xfId="0" applyFont="1" applyFill="1" applyAlignment="1">
      <alignment horizontal="center" vertical="center"/>
    </xf>
    <xf numFmtId="0" fontId="1" fillId="0" borderId="0" xfId="0" applyFont="1" applyAlignment="1">
      <alignment horizontal="center" vertical="center" wrapText="1"/>
    </xf>
    <xf numFmtId="0" fontId="1" fillId="9" borderId="0" xfId="0" applyFont="1" applyFill="1" applyAlignment="1">
      <alignment horizontal="center"/>
    </xf>
    <xf numFmtId="0" fontId="14" fillId="3" borderId="0" xfId="0" applyFont="1" applyFill="1" applyAlignment="1">
      <alignment horizontal="center" vertical="center"/>
    </xf>
    <xf numFmtId="0" fontId="9" fillId="0" borderId="0" xfId="4"/>
    <xf numFmtId="0" fontId="15" fillId="0" borderId="0" xfId="0" applyFont="1" applyAlignment="1">
      <alignment horizontal="center" vertical="center" wrapText="1"/>
    </xf>
    <xf numFmtId="14" fontId="0" fillId="0" borderId="0" xfId="0" applyNumberFormat="1"/>
    <xf numFmtId="165" fontId="16" fillId="0" borderId="0" xfId="5" applyNumberFormat="1" applyFont="1"/>
    <xf numFmtId="0" fontId="8" fillId="3" borderId="0" xfId="0" applyFont="1" applyFill="1"/>
    <xf numFmtId="0" fontId="0" fillId="3" borderId="0" xfId="0" applyFill="1"/>
    <xf numFmtId="0" fontId="9" fillId="3" borderId="0" xfId="4" applyFill="1"/>
    <xf numFmtId="0" fontId="17" fillId="9" borderId="9" xfId="0" applyFont="1" applyFill="1" applyBorder="1" applyAlignment="1" applyProtection="1">
      <alignment horizontal="left" vertical="center" indent="1"/>
      <protection locked="0"/>
    </xf>
    <xf numFmtId="0" fontId="17" fillId="9" borderId="10" xfId="0" applyFont="1" applyFill="1" applyBorder="1" applyAlignment="1" applyProtection="1">
      <alignment horizontal="left" vertical="center" indent="1"/>
      <protection locked="0"/>
    </xf>
    <xf numFmtId="0" fontId="0" fillId="0" borderId="0" xfId="0" applyProtection="1">
      <protection locked="0"/>
    </xf>
    <xf numFmtId="0" fontId="18" fillId="0" borderId="0" xfId="0" applyFont="1" applyProtection="1">
      <protection locked="0"/>
    </xf>
    <xf numFmtId="0" fontId="0" fillId="0" borderId="0" xfId="0" applyAlignment="1" applyProtection="1">
      <alignment vertical="center"/>
      <protection locked="0"/>
    </xf>
    <xf numFmtId="0" fontId="0" fillId="0" borderId="11" xfId="0" applyBorder="1" applyProtection="1">
      <protection locked="0"/>
    </xf>
    <xf numFmtId="0" fontId="19" fillId="0" borderId="0" xfId="0" applyFont="1" applyAlignment="1" applyProtection="1">
      <alignment horizontal="center"/>
      <protection locked="0"/>
    </xf>
    <xf numFmtId="0" fontId="20" fillId="0" borderId="0" xfId="0" applyFont="1" applyAlignment="1" applyProtection="1">
      <alignment horizontal="center"/>
      <protection locked="0"/>
    </xf>
    <xf numFmtId="0" fontId="19" fillId="0" borderId="0" xfId="0" applyFont="1" applyAlignment="1" applyProtection="1">
      <alignment horizontal="left" indent="1"/>
      <protection locked="0"/>
    </xf>
    <xf numFmtId="0" fontId="21" fillId="0" borderId="0" xfId="0" applyFont="1" applyProtection="1">
      <protection locked="0"/>
    </xf>
    <xf numFmtId="0" fontId="22" fillId="0" borderId="0" xfId="0" applyFont="1" applyProtection="1">
      <protection locked="0"/>
    </xf>
    <xf numFmtId="0" fontId="21" fillId="0" borderId="0" xfId="0" applyFont="1" applyAlignment="1" applyProtection="1">
      <alignment horizontal="center"/>
      <protection locked="0"/>
    </xf>
    <xf numFmtId="0" fontId="0" fillId="0" borderId="0" xfId="0" applyAlignment="1" applyProtection="1">
      <alignment horizontal="left" indent="1"/>
      <protection locked="0"/>
    </xf>
    <xf numFmtId="0" fontId="23" fillId="0" borderId="0" xfId="0" applyFont="1" applyAlignment="1" applyProtection="1">
      <alignment horizontal="center"/>
      <protection locked="0"/>
    </xf>
    <xf numFmtId="0" fontId="19" fillId="0" borderId="0" xfId="0" quotePrefix="1" applyFont="1" applyAlignment="1" applyProtection="1">
      <alignment horizontal="center"/>
      <protection locked="0"/>
    </xf>
    <xf numFmtId="0" fontId="9" fillId="0" borderId="0" xfId="0" applyFont="1" applyAlignment="1" applyProtection="1">
      <alignment horizontal="left" indent="1"/>
      <protection locked="0"/>
    </xf>
    <xf numFmtId="0" fontId="9" fillId="0" borderId="0" xfId="0" applyFont="1" applyAlignment="1" applyProtection="1">
      <alignment horizontal="center"/>
      <protection locked="0"/>
    </xf>
    <xf numFmtId="0" fontId="23" fillId="3" borderId="0" xfId="0" applyFont="1" applyFill="1" applyAlignment="1" applyProtection="1">
      <alignment horizontal="center"/>
      <protection locked="0"/>
    </xf>
    <xf numFmtId="0" fontId="2" fillId="9" borderId="0" xfId="0" applyFont="1" applyFill="1"/>
    <xf numFmtId="0" fontId="26" fillId="0" borderId="0" xfId="0" applyFont="1"/>
    <xf numFmtId="0" fontId="27" fillId="0" borderId="0" xfId="0" applyFont="1"/>
    <xf numFmtId="0" fontId="28" fillId="0" borderId="0" xfId="0" applyFont="1"/>
    <xf numFmtId="165" fontId="28" fillId="0" borderId="0" xfId="3" applyNumberFormat="1" applyFont="1"/>
    <xf numFmtId="43" fontId="28" fillId="0" borderId="0" xfId="0" applyNumberFormat="1" applyFont="1"/>
    <xf numFmtId="9" fontId="28" fillId="0" borderId="0" xfId="0" applyNumberFormat="1" applyFont="1"/>
    <xf numFmtId="9" fontId="27" fillId="0" borderId="0" xfId="0" applyNumberFormat="1" applyFont="1"/>
    <xf numFmtId="9" fontId="1" fillId="0" borderId="0" xfId="0" applyNumberFormat="1" applyFont="1"/>
    <xf numFmtId="2" fontId="28" fillId="0" borderId="0" xfId="0" applyNumberFormat="1" applyFont="1"/>
    <xf numFmtId="0" fontId="29" fillId="9" borderId="0" xfId="0" quotePrefix="1" applyFont="1" applyFill="1"/>
    <xf numFmtId="0" fontId="29" fillId="9" borderId="0" xfId="0" applyFont="1" applyFill="1"/>
    <xf numFmtId="0" fontId="30" fillId="0" borderId="0" xfId="0" quotePrefix="1" applyFont="1"/>
    <xf numFmtId="0" fontId="30" fillId="0" borderId="0" xfId="0" applyFont="1"/>
    <xf numFmtId="14" fontId="30" fillId="0" borderId="0" xfId="0" applyNumberFormat="1" applyFont="1"/>
    <xf numFmtId="168" fontId="30" fillId="0" borderId="0" xfId="0" applyNumberFormat="1" applyFont="1"/>
    <xf numFmtId="0" fontId="30" fillId="0" borderId="0" xfId="0" quotePrefix="1" applyFont="1" applyAlignment="1">
      <alignment horizontal="left"/>
    </xf>
    <xf numFmtId="168" fontId="0" fillId="0" borderId="0" xfId="0" applyNumberFormat="1"/>
    <xf numFmtId="0" fontId="31" fillId="9" borderId="0" xfId="0" applyFont="1" applyFill="1"/>
    <xf numFmtId="0" fontId="32" fillId="0" borderId="0" xfId="1" applyFont="1"/>
    <xf numFmtId="0" fontId="4" fillId="3" borderId="0" xfId="0" applyFont="1" applyFill="1"/>
  </cellXfs>
  <cellStyles count="6">
    <cellStyle name="Comma" xfId="3" builtinId="3"/>
    <cellStyle name="Comma 2" xfId="5" xr:uid="{CAA951BF-78C4-461F-A637-4138548A2A8A}"/>
    <cellStyle name="Normal" xfId="0" builtinId="0"/>
    <cellStyle name="Normal 2" xfId="1" xr:uid="{F259A44E-5209-40CB-A72A-E8DD995AF08C}"/>
    <cellStyle name="Normal 3" xfId="4" xr:uid="{73250769-18AF-4A23-842C-1F8432747FF0}"/>
    <cellStyle name="Normal 4" xfId="2" xr:uid="{02972B3B-3C3A-4D5E-B134-3A009D05FE84}"/>
  </cellStyles>
  <dxfs count="1">
    <dxf>
      <font>
        <b/>
        <i val="0"/>
        <strike val="0"/>
        <condense val="0"/>
        <extend val="0"/>
        <outline val="0"/>
        <shadow val="0"/>
        <u val="none"/>
        <vertAlign val="baseline"/>
        <sz val="8.5"/>
        <color auto="1"/>
        <name val="MS Sans Serif"/>
        <family val="2"/>
        <scheme val="none"/>
      </font>
      <fill>
        <patternFill patternType="solid">
          <fgColor indexed="64"/>
          <bgColor theme="9"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97FE19-BD3B-493D-9E44-88BA137D02F5}" name="Table1" displayName="Table1" ref="A1:E1048576" totalsRowShown="0" headerRowDxfId="0">
  <autoFilter ref="A1:E1048576" xr:uid="{CD97FE19-BD3B-493D-9E44-88BA137D02F5}"/>
  <tableColumns count="5">
    <tableColumn id="1" xr3:uid="{B6EA9F72-D98E-434A-BB70-BC646A30F23C}" name="Region"/>
    <tableColumn id="2" xr3:uid="{4BF0AA59-3802-4048-B33C-E5204132651E}" name="City"/>
    <tableColumn id="3" xr3:uid="{AFE5F87C-8C1E-416F-9522-630BE097C188}" name="Product"/>
    <tableColumn id="4" xr3:uid="{C5FF2DB6-73AC-4900-8D94-E423193DA77D}" name="Invoice Date"/>
    <tableColumn id="5" xr3:uid="{0C72DAC2-D304-41A7-A87A-B6FC1BA8C8B5}"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C21F4-63F5-4D36-8E61-AD103F324957}">
  <dimension ref="A1:R314"/>
  <sheetViews>
    <sheetView tabSelected="1" topLeftCell="J297" zoomScale="90" zoomScaleNormal="90" workbookViewId="0">
      <selection activeCell="K305" sqref="K305"/>
    </sheetView>
  </sheetViews>
  <sheetFormatPr defaultRowHeight="14.5" x14ac:dyDescent="0.35"/>
  <cols>
    <col min="1" max="1" width="8" bestFit="1" customWidth="1"/>
    <col min="2" max="2" width="10.6328125" bestFit="1" customWidth="1"/>
    <col min="3" max="3" width="7.90625" bestFit="1" customWidth="1"/>
    <col min="4" max="5" width="6.08984375" bestFit="1" customWidth="1"/>
    <col min="8" max="8" width="34.6328125" bestFit="1" customWidth="1"/>
    <col min="10" max="10" width="11.6328125" bestFit="1" customWidth="1"/>
    <col min="11" max="11" width="78.08984375" bestFit="1" customWidth="1"/>
    <col min="12" max="12" width="12.08984375" bestFit="1" customWidth="1"/>
    <col min="14" max="14" width="25" bestFit="1" customWidth="1"/>
  </cols>
  <sheetData>
    <row r="1" spans="1:18" x14ac:dyDescent="0.35">
      <c r="A1" s="32" t="s">
        <v>0</v>
      </c>
      <c r="B1" s="32"/>
      <c r="C1" s="32"/>
      <c r="D1" s="32"/>
      <c r="E1" s="32"/>
      <c r="F1" s="32"/>
      <c r="G1" s="32"/>
      <c r="H1" s="32"/>
      <c r="I1" s="32"/>
      <c r="J1" s="32"/>
      <c r="K1" s="32"/>
      <c r="L1" s="32"/>
      <c r="M1" s="32"/>
      <c r="N1" s="32"/>
      <c r="O1" s="32"/>
      <c r="P1" s="32"/>
      <c r="Q1" s="32"/>
      <c r="R1" s="32"/>
    </row>
    <row r="2" spans="1:18" x14ac:dyDescent="0.35">
      <c r="A2" s="32"/>
      <c r="B2" s="32"/>
      <c r="C2" s="32"/>
      <c r="D2" s="32"/>
      <c r="E2" s="32"/>
      <c r="F2" s="32"/>
      <c r="G2" s="32"/>
      <c r="H2" s="32"/>
      <c r="I2" s="32"/>
      <c r="J2" s="32"/>
      <c r="K2" s="32"/>
      <c r="L2" s="32"/>
      <c r="M2" s="32"/>
      <c r="N2" s="32"/>
      <c r="O2" s="32"/>
      <c r="P2" s="32"/>
      <c r="Q2" s="32"/>
      <c r="R2" s="32"/>
    </row>
    <row r="3" spans="1:18" x14ac:dyDescent="0.35">
      <c r="A3" s="32"/>
      <c r="B3" s="32"/>
      <c r="C3" s="32"/>
      <c r="D3" s="32"/>
      <c r="E3" s="32"/>
      <c r="F3" s="32"/>
      <c r="G3" s="32"/>
      <c r="H3" s="32"/>
      <c r="I3" s="32"/>
      <c r="J3" s="32"/>
      <c r="K3" s="32"/>
      <c r="L3" s="32"/>
      <c r="M3" s="32"/>
      <c r="N3" s="32"/>
      <c r="O3" s="32"/>
      <c r="P3" s="32"/>
      <c r="Q3" s="32"/>
      <c r="R3" s="32"/>
    </row>
    <row r="4" spans="1:18" x14ac:dyDescent="0.35">
      <c r="A4" s="32"/>
      <c r="B4" s="32"/>
      <c r="C4" s="32"/>
      <c r="D4" s="32"/>
      <c r="E4" s="32"/>
      <c r="F4" s="32"/>
      <c r="G4" s="32"/>
      <c r="H4" s="32"/>
      <c r="I4" s="32"/>
      <c r="J4" s="32"/>
      <c r="K4" s="32"/>
      <c r="L4" s="32"/>
      <c r="M4" s="32"/>
      <c r="N4" s="32"/>
      <c r="O4" s="32"/>
      <c r="P4" s="32"/>
      <c r="Q4" s="32"/>
      <c r="R4" s="32"/>
    </row>
    <row r="8" spans="1:18" x14ac:dyDescent="0.35">
      <c r="A8" s="33" t="s">
        <v>1</v>
      </c>
      <c r="B8" s="33"/>
      <c r="C8" s="33"/>
      <c r="D8" s="33"/>
      <c r="E8" s="33"/>
      <c r="F8" s="33"/>
      <c r="G8" s="33"/>
      <c r="H8" s="33"/>
      <c r="I8" s="33"/>
      <c r="J8" s="33"/>
      <c r="K8" s="33"/>
      <c r="L8" s="33"/>
      <c r="M8" s="33"/>
      <c r="N8" s="33"/>
      <c r="O8" s="33"/>
      <c r="P8" s="33"/>
      <c r="Q8" s="33"/>
      <c r="R8" s="33"/>
    </row>
    <row r="9" spans="1:18" x14ac:dyDescent="0.35">
      <c r="A9" s="33"/>
      <c r="B9" s="33"/>
      <c r="C9" s="33"/>
      <c r="D9" s="33"/>
      <c r="E9" s="33"/>
      <c r="F9" s="33"/>
      <c r="G9" s="33"/>
      <c r="H9" s="33"/>
      <c r="I9" s="33"/>
      <c r="J9" s="33"/>
      <c r="K9" s="33"/>
      <c r="L9" s="33"/>
      <c r="M9" s="33"/>
      <c r="N9" s="33"/>
      <c r="O9" s="33"/>
      <c r="P9" s="33"/>
      <c r="Q9" s="33"/>
      <c r="R9" s="33"/>
    </row>
    <row r="10" spans="1:18" x14ac:dyDescent="0.35">
      <c r="A10" s="33"/>
      <c r="B10" s="33"/>
      <c r="C10" s="33"/>
      <c r="D10" s="33"/>
      <c r="E10" s="33"/>
      <c r="F10" s="33"/>
      <c r="G10" s="33"/>
      <c r="H10" s="33"/>
      <c r="I10" s="33"/>
      <c r="J10" s="33"/>
      <c r="K10" s="33"/>
      <c r="L10" s="33"/>
      <c r="M10" s="33"/>
      <c r="N10" s="33"/>
      <c r="O10" s="33"/>
      <c r="P10" s="33"/>
      <c r="Q10" s="33"/>
      <c r="R10" s="33"/>
    </row>
    <row r="12" spans="1:18" x14ac:dyDescent="0.35">
      <c r="A12" s="1" t="s">
        <v>2</v>
      </c>
      <c r="B12" s="2" t="s">
        <v>3</v>
      </c>
      <c r="C12" s="2" t="s">
        <v>4</v>
      </c>
      <c r="D12" s="2" t="s">
        <v>5</v>
      </c>
      <c r="E12" s="2" t="s">
        <v>6</v>
      </c>
    </row>
    <row r="13" spans="1:18" x14ac:dyDescent="0.35">
      <c r="A13" s="4">
        <v>1</v>
      </c>
      <c r="B13" s="3" t="s">
        <v>7</v>
      </c>
      <c r="C13" s="3">
        <v>500</v>
      </c>
      <c r="D13" s="3">
        <v>120</v>
      </c>
      <c r="E13" s="3">
        <v>111</v>
      </c>
    </row>
    <row r="14" spans="1:18" x14ac:dyDescent="0.35">
      <c r="A14" s="4">
        <v>2</v>
      </c>
      <c r="B14" s="3" t="s">
        <v>8</v>
      </c>
      <c r="C14" s="3">
        <v>800</v>
      </c>
      <c r="D14" s="3">
        <v>122</v>
      </c>
      <c r="E14" s="3">
        <v>125</v>
      </c>
    </row>
    <row r="15" spans="1:18" x14ac:dyDescent="0.35">
      <c r="A15" s="4">
        <v>3</v>
      </c>
      <c r="B15" s="3" t="s">
        <v>9</v>
      </c>
      <c r="C15" s="3">
        <v>200</v>
      </c>
      <c r="D15" s="3">
        <v>133</v>
      </c>
      <c r="E15" s="3">
        <v>121</v>
      </c>
    </row>
    <row r="16" spans="1:18" x14ac:dyDescent="0.35">
      <c r="A16" s="4">
        <v>4</v>
      </c>
      <c r="B16" s="3" t="s">
        <v>10</v>
      </c>
      <c r="C16" s="3">
        <v>300</v>
      </c>
      <c r="D16" s="3">
        <v>123</v>
      </c>
      <c r="E16" s="3">
        <v>221</v>
      </c>
    </row>
    <row r="17" spans="1:18" x14ac:dyDescent="0.35">
      <c r="A17" s="4">
        <v>5</v>
      </c>
      <c r="B17" s="3" t="s">
        <v>11</v>
      </c>
      <c r="C17" s="3">
        <v>340</v>
      </c>
      <c r="D17" s="3">
        <v>125</v>
      </c>
      <c r="E17" s="3">
        <v>213</v>
      </c>
    </row>
    <row r="18" spans="1:18" x14ac:dyDescent="0.35">
      <c r="A18" s="4">
        <v>6</v>
      </c>
      <c r="B18" s="3" t="s">
        <v>12</v>
      </c>
      <c r="C18" s="3">
        <v>200</v>
      </c>
      <c r="D18" s="3">
        <v>124</v>
      </c>
      <c r="E18" s="3">
        <v>323</v>
      </c>
    </row>
    <row r="20" spans="1:18" x14ac:dyDescent="0.35">
      <c r="A20" s="34" t="s">
        <v>13</v>
      </c>
      <c r="B20" s="34"/>
      <c r="C20" s="34"/>
      <c r="D20" s="34"/>
      <c r="E20" s="34"/>
      <c r="F20" s="34"/>
      <c r="G20" s="34"/>
      <c r="H20" s="34"/>
      <c r="I20" s="34"/>
      <c r="J20" s="34"/>
      <c r="K20" s="34"/>
      <c r="L20" s="34"/>
      <c r="M20" s="34"/>
      <c r="N20" s="34"/>
      <c r="O20" s="34"/>
      <c r="P20" s="34"/>
      <c r="Q20" s="34"/>
      <c r="R20" s="34"/>
    </row>
    <row r="21" spans="1:18" x14ac:dyDescent="0.35">
      <c r="A21" s="34"/>
      <c r="B21" s="34"/>
      <c r="C21" s="34"/>
      <c r="D21" s="34"/>
      <c r="E21" s="34"/>
      <c r="F21" s="34"/>
      <c r="G21" s="34"/>
      <c r="H21" s="34"/>
      <c r="I21" s="34"/>
      <c r="J21" s="34"/>
      <c r="K21" s="34"/>
      <c r="L21" s="34"/>
      <c r="M21" s="34"/>
      <c r="N21" s="34"/>
      <c r="O21" s="34"/>
      <c r="P21" s="34"/>
      <c r="Q21" s="34"/>
      <c r="R21" s="34"/>
    </row>
    <row r="22" spans="1:18" x14ac:dyDescent="0.35">
      <c r="A22" s="34"/>
      <c r="B22" s="34"/>
      <c r="C22" s="34"/>
      <c r="D22" s="34"/>
      <c r="E22" s="34"/>
      <c r="F22" s="34"/>
      <c r="G22" s="34"/>
      <c r="H22" s="34"/>
      <c r="I22" s="34"/>
      <c r="J22" s="34"/>
      <c r="K22" s="34"/>
      <c r="L22" s="34"/>
      <c r="M22" s="34"/>
      <c r="N22" s="34"/>
      <c r="O22" s="34"/>
      <c r="P22" s="34"/>
      <c r="Q22" s="34"/>
      <c r="R22" s="34"/>
    </row>
    <row r="24" spans="1:18" ht="15" thickBot="1" x14ac:dyDescent="0.4">
      <c r="A24" t="s">
        <v>14</v>
      </c>
      <c r="B24" t="s">
        <v>15</v>
      </c>
      <c r="C24" t="s">
        <v>16</v>
      </c>
      <c r="D24" t="s">
        <v>17</v>
      </c>
      <c r="E24" t="s">
        <v>18</v>
      </c>
      <c r="F24" t="s">
        <v>19</v>
      </c>
      <c r="G24" t="s">
        <v>20</v>
      </c>
      <c r="H24" s="5" t="s">
        <v>21</v>
      </c>
    </row>
    <row r="25" spans="1:18" x14ac:dyDescent="0.35">
      <c r="A25" t="s">
        <v>22</v>
      </c>
      <c r="B25" t="s">
        <v>23</v>
      </c>
      <c r="C25" t="s">
        <v>24</v>
      </c>
      <c r="D25" t="s">
        <v>25</v>
      </c>
      <c r="E25" t="s">
        <v>26</v>
      </c>
      <c r="F25" t="s">
        <v>27</v>
      </c>
      <c r="G25">
        <v>3677</v>
      </c>
      <c r="H25" t="s">
        <v>28</v>
      </c>
      <c r="N25" s="6" t="s">
        <v>36</v>
      </c>
      <c r="O25" s="7" t="s">
        <v>37</v>
      </c>
      <c r="P25" s="7" t="s">
        <v>38</v>
      </c>
      <c r="Q25" s="7" t="s">
        <v>39</v>
      </c>
      <c r="R25" s="7" t="s">
        <v>40</v>
      </c>
    </row>
    <row r="26" spans="1:18" x14ac:dyDescent="0.35">
      <c r="A26" t="s">
        <v>22</v>
      </c>
      <c r="B26" t="s">
        <v>23</v>
      </c>
      <c r="C26" t="s">
        <v>24</v>
      </c>
      <c r="D26" t="s">
        <v>29</v>
      </c>
      <c r="E26" t="s">
        <v>26</v>
      </c>
      <c r="F26" t="s">
        <v>30</v>
      </c>
      <c r="G26">
        <v>2248</v>
      </c>
      <c r="H26" t="s">
        <v>28</v>
      </c>
      <c r="N26" s="8" t="s">
        <v>41</v>
      </c>
      <c r="O26" s="10">
        <v>29120</v>
      </c>
      <c r="P26" s="9">
        <v>19162</v>
      </c>
      <c r="Q26" s="9">
        <v>19219</v>
      </c>
      <c r="R26" s="9">
        <v>13240</v>
      </c>
    </row>
    <row r="27" spans="1:18" x14ac:dyDescent="0.35">
      <c r="A27" t="s">
        <v>22</v>
      </c>
      <c r="B27" t="s">
        <v>23</v>
      </c>
      <c r="C27" t="s">
        <v>24</v>
      </c>
      <c r="D27" t="s">
        <v>31</v>
      </c>
      <c r="E27" t="s">
        <v>26</v>
      </c>
      <c r="F27" t="s">
        <v>30</v>
      </c>
      <c r="G27">
        <v>1184</v>
      </c>
      <c r="H27" t="s">
        <v>28</v>
      </c>
      <c r="N27" s="8" t="s">
        <v>42</v>
      </c>
      <c r="O27" s="9">
        <v>15154</v>
      </c>
      <c r="P27" s="9">
        <v>24516</v>
      </c>
      <c r="Q27" s="10">
        <v>29110</v>
      </c>
      <c r="R27" s="9">
        <v>28228</v>
      </c>
    </row>
    <row r="28" spans="1:18" x14ac:dyDescent="0.35">
      <c r="A28" t="s">
        <v>22</v>
      </c>
      <c r="B28" t="s">
        <v>23</v>
      </c>
      <c r="C28" t="s">
        <v>24</v>
      </c>
      <c r="D28" t="s">
        <v>29</v>
      </c>
      <c r="E28" t="s">
        <v>26</v>
      </c>
      <c r="F28" t="s">
        <v>27</v>
      </c>
      <c r="G28">
        <v>2454</v>
      </c>
      <c r="H28" t="s">
        <v>28</v>
      </c>
      <c r="N28" s="8" t="s">
        <v>43</v>
      </c>
      <c r="O28" s="10">
        <v>12005</v>
      </c>
      <c r="P28" s="9">
        <v>20728</v>
      </c>
      <c r="Q28" s="9">
        <v>25454</v>
      </c>
      <c r="R28" s="9">
        <v>28650</v>
      </c>
    </row>
    <row r="29" spans="1:18" x14ac:dyDescent="0.35">
      <c r="A29" t="s">
        <v>22</v>
      </c>
      <c r="B29" t="s">
        <v>23</v>
      </c>
      <c r="C29" t="s">
        <v>24</v>
      </c>
      <c r="D29" t="s">
        <v>32</v>
      </c>
      <c r="E29" t="s">
        <v>26</v>
      </c>
      <c r="F29" t="s">
        <v>27</v>
      </c>
      <c r="G29">
        <v>1226</v>
      </c>
      <c r="H29" t="s">
        <v>28</v>
      </c>
      <c r="I29" s="35" t="s">
        <v>35</v>
      </c>
      <c r="J29" s="35"/>
      <c r="K29" s="35"/>
      <c r="L29" s="35"/>
      <c r="N29" s="8" t="s">
        <v>44</v>
      </c>
      <c r="O29" s="9">
        <v>12724</v>
      </c>
      <c r="P29" s="9">
        <v>20714</v>
      </c>
      <c r="Q29" s="9">
        <v>16969</v>
      </c>
      <c r="R29" s="10">
        <v>19777</v>
      </c>
    </row>
    <row r="30" spans="1:18" x14ac:dyDescent="0.35">
      <c r="A30" t="s">
        <v>22</v>
      </c>
      <c r="B30" t="s">
        <v>23</v>
      </c>
      <c r="C30" t="s">
        <v>24</v>
      </c>
      <c r="D30" t="s">
        <v>32</v>
      </c>
      <c r="E30" t="s">
        <v>26</v>
      </c>
      <c r="F30" t="s">
        <v>30</v>
      </c>
      <c r="G30">
        <v>4967</v>
      </c>
      <c r="H30" t="s">
        <v>28</v>
      </c>
      <c r="I30" s="35"/>
      <c r="J30" s="35"/>
      <c r="K30" s="35"/>
      <c r="L30" s="35"/>
      <c r="N30" s="8" t="s">
        <v>45</v>
      </c>
      <c r="O30" s="9">
        <v>29893</v>
      </c>
      <c r="P30" s="10">
        <v>25585</v>
      </c>
      <c r="Q30" s="9">
        <v>15244</v>
      </c>
      <c r="R30" s="9">
        <v>22373</v>
      </c>
    </row>
    <row r="31" spans="1:18" x14ac:dyDescent="0.35">
      <c r="A31" t="s">
        <v>22</v>
      </c>
      <c r="B31" t="s">
        <v>23</v>
      </c>
      <c r="C31" t="s">
        <v>24</v>
      </c>
      <c r="D31" t="s">
        <v>31</v>
      </c>
      <c r="E31" t="s">
        <v>26</v>
      </c>
      <c r="F31" t="s">
        <v>27</v>
      </c>
      <c r="G31">
        <v>2022</v>
      </c>
      <c r="H31" t="s">
        <v>28</v>
      </c>
      <c r="I31" s="35"/>
      <c r="J31" s="35"/>
      <c r="K31" s="35"/>
      <c r="L31" s="35"/>
      <c r="N31" s="8" t="s">
        <v>46</v>
      </c>
      <c r="O31" s="9">
        <v>19505</v>
      </c>
      <c r="P31" s="9">
        <v>26123</v>
      </c>
      <c r="Q31" s="9">
        <v>14444</v>
      </c>
      <c r="R31" s="9">
        <v>25501</v>
      </c>
    </row>
    <row r="32" spans="1:18" x14ac:dyDescent="0.35">
      <c r="A32" t="s">
        <v>22</v>
      </c>
      <c r="B32" t="s">
        <v>23</v>
      </c>
      <c r="C32" t="s">
        <v>24</v>
      </c>
      <c r="D32" t="s">
        <v>25</v>
      </c>
      <c r="E32" t="s">
        <v>26</v>
      </c>
      <c r="F32" t="s">
        <v>30</v>
      </c>
      <c r="G32">
        <v>3498</v>
      </c>
      <c r="H32" t="s">
        <v>28</v>
      </c>
      <c r="I32" s="35"/>
      <c r="J32" s="35"/>
      <c r="K32" s="35"/>
      <c r="L32" s="35"/>
      <c r="N32" s="8" t="s">
        <v>47</v>
      </c>
      <c r="O32" s="9">
        <v>13074</v>
      </c>
      <c r="P32" s="10">
        <v>10495</v>
      </c>
      <c r="Q32" s="9">
        <v>21567</v>
      </c>
      <c r="R32" s="10">
        <v>12334</v>
      </c>
    </row>
    <row r="33" spans="1:18" x14ac:dyDescent="0.35">
      <c r="A33" t="s">
        <v>33</v>
      </c>
      <c r="B33" t="s">
        <v>23</v>
      </c>
      <c r="C33" t="s">
        <v>24</v>
      </c>
      <c r="D33" t="s">
        <v>29</v>
      </c>
      <c r="E33" t="s">
        <v>26</v>
      </c>
      <c r="F33" t="s">
        <v>27</v>
      </c>
      <c r="G33">
        <v>3951</v>
      </c>
      <c r="H33" t="s">
        <v>28</v>
      </c>
      <c r="I33" s="35"/>
      <c r="J33" s="35"/>
      <c r="K33" s="35"/>
      <c r="L33" s="35"/>
      <c r="N33" s="8" t="s">
        <v>48</v>
      </c>
      <c r="O33" s="9">
        <v>12818</v>
      </c>
      <c r="P33" s="9">
        <v>26835</v>
      </c>
      <c r="Q33" s="10">
        <v>28948</v>
      </c>
      <c r="R33" s="9">
        <v>11872</v>
      </c>
    </row>
    <row r="34" spans="1:18" x14ac:dyDescent="0.35">
      <c r="A34" t="s">
        <v>33</v>
      </c>
      <c r="B34" t="s">
        <v>23</v>
      </c>
      <c r="C34" t="s">
        <v>24</v>
      </c>
      <c r="D34" t="s">
        <v>29</v>
      </c>
      <c r="E34" t="s">
        <v>26</v>
      </c>
      <c r="F34" t="s">
        <v>30</v>
      </c>
      <c r="G34">
        <v>4498</v>
      </c>
      <c r="H34" t="s">
        <v>28</v>
      </c>
      <c r="N34" s="8" t="s">
        <v>49</v>
      </c>
      <c r="O34" s="9">
        <v>24981</v>
      </c>
      <c r="P34" s="10">
        <v>16197</v>
      </c>
      <c r="Q34" s="9">
        <v>19031</v>
      </c>
      <c r="R34" s="9">
        <v>16269</v>
      </c>
    </row>
    <row r="35" spans="1:18" x14ac:dyDescent="0.35">
      <c r="A35" t="s">
        <v>33</v>
      </c>
      <c r="B35" t="s">
        <v>23</v>
      </c>
      <c r="C35" t="s">
        <v>24</v>
      </c>
      <c r="D35" t="s">
        <v>32</v>
      </c>
      <c r="E35" t="s">
        <v>26</v>
      </c>
      <c r="F35" t="s">
        <v>27</v>
      </c>
      <c r="G35">
        <v>2216</v>
      </c>
      <c r="H35" t="s">
        <v>28</v>
      </c>
      <c r="N35" s="8" t="s">
        <v>50</v>
      </c>
      <c r="O35" s="9">
        <v>24555</v>
      </c>
      <c r="P35" s="9">
        <v>19244</v>
      </c>
      <c r="Q35" s="9">
        <v>12817</v>
      </c>
      <c r="R35" s="9">
        <v>15713</v>
      </c>
    </row>
    <row r="36" spans="1:18" x14ac:dyDescent="0.35">
      <c r="A36" t="s">
        <v>33</v>
      </c>
      <c r="B36" t="s">
        <v>23</v>
      </c>
      <c r="C36" t="s">
        <v>24</v>
      </c>
      <c r="D36" t="s">
        <v>32</v>
      </c>
      <c r="E36" t="s">
        <v>26</v>
      </c>
      <c r="F36" t="s">
        <v>30</v>
      </c>
      <c r="G36">
        <v>2340</v>
      </c>
      <c r="H36" t="s">
        <v>28</v>
      </c>
      <c r="N36" s="8" t="s">
        <v>51</v>
      </c>
      <c r="O36" s="9">
        <v>27825</v>
      </c>
      <c r="P36" s="9">
        <v>26673</v>
      </c>
      <c r="Q36" s="10">
        <v>21549</v>
      </c>
      <c r="R36" s="9">
        <v>20681</v>
      </c>
    </row>
    <row r="37" spans="1:18" x14ac:dyDescent="0.35">
      <c r="A37" t="s">
        <v>33</v>
      </c>
      <c r="B37" t="s">
        <v>23</v>
      </c>
      <c r="C37" t="s">
        <v>24</v>
      </c>
      <c r="D37" t="s">
        <v>31</v>
      </c>
      <c r="E37" t="s">
        <v>26</v>
      </c>
      <c r="F37" t="s">
        <v>27</v>
      </c>
      <c r="G37">
        <v>3864</v>
      </c>
      <c r="H37" t="s">
        <v>28</v>
      </c>
      <c r="N37" s="8" t="s">
        <v>52</v>
      </c>
      <c r="O37" s="9">
        <v>23815</v>
      </c>
      <c r="P37" s="9">
        <v>26861</v>
      </c>
      <c r="Q37" s="9">
        <v>20381</v>
      </c>
      <c r="R37" s="10">
        <v>22299</v>
      </c>
    </row>
    <row r="38" spans="1:18" x14ac:dyDescent="0.35">
      <c r="A38" t="s">
        <v>33</v>
      </c>
      <c r="B38" t="s">
        <v>23</v>
      </c>
      <c r="C38" t="s">
        <v>24</v>
      </c>
      <c r="D38" t="s">
        <v>31</v>
      </c>
      <c r="E38" t="s">
        <v>26</v>
      </c>
      <c r="F38" t="s">
        <v>30</v>
      </c>
      <c r="G38">
        <v>1812</v>
      </c>
      <c r="H38" t="s">
        <v>28</v>
      </c>
    </row>
    <row r="39" spans="1:18" x14ac:dyDescent="0.35">
      <c r="A39" t="s">
        <v>33</v>
      </c>
      <c r="B39" t="s">
        <v>23</v>
      </c>
      <c r="C39" t="s">
        <v>24</v>
      </c>
      <c r="D39" t="s">
        <v>25</v>
      </c>
      <c r="E39" t="s">
        <v>26</v>
      </c>
      <c r="F39" t="s">
        <v>27</v>
      </c>
      <c r="G39">
        <v>4978</v>
      </c>
      <c r="H39" t="s">
        <v>28</v>
      </c>
      <c r="N39" s="11" t="s">
        <v>53</v>
      </c>
    </row>
    <row r="40" spans="1:18" x14ac:dyDescent="0.35">
      <c r="A40" t="s">
        <v>33</v>
      </c>
      <c r="B40" t="s">
        <v>23</v>
      </c>
      <c r="C40" t="s">
        <v>24</v>
      </c>
      <c r="D40" t="s">
        <v>25</v>
      </c>
      <c r="E40" t="s">
        <v>26</v>
      </c>
      <c r="F40" t="s">
        <v>30</v>
      </c>
      <c r="G40">
        <v>2719</v>
      </c>
      <c r="H40" t="s">
        <v>28</v>
      </c>
      <c r="N40" t="s">
        <v>54</v>
      </c>
      <c r="O40" s="12"/>
    </row>
    <row r="41" spans="1:18" x14ac:dyDescent="0.35">
      <c r="A41" t="s">
        <v>34</v>
      </c>
      <c r="B41" t="s">
        <v>23</v>
      </c>
      <c r="C41" t="s">
        <v>24</v>
      </c>
      <c r="D41" t="s">
        <v>29</v>
      </c>
      <c r="E41" t="s">
        <v>26</v>
      </c>
      <c r="F41" t="s">
        <v>27</v>
      </c>
      <c r="G41">
        <v>2146</v>
      </c>
      <c r="H41" t="s">
        <v>28</v>
      </c>
      <c r="N41" t="s">
        <v>55</v>
      </c>
      <c r="O41" s="12"/>
    </row>
    <row r="42" spans="1:18" x14ac:dyDescent="0.35">
      <c r="A42" t="s">
        <v>34</v>
      </c>
      <c r="B42" t="s">
        <v>23</v>
      </c>
      <c r="C42" t="s">
        <v>24</v>
      </c>
      <c r="D42" t="s">
        <v>29</v>
      </c>
      <c r="E42" t="s">
        <v>26</v>
      </c>
      <c r="F42" t="s">
        <v>30</v>
      </c>
      <c r="G42">
        <v>4269</v>
      </c>
      <c r="H42" t="s">
        <v>28</v>
      </c>
      <c r="N42" t="s">
        <v>56</v>
      </c>
    </row>
    <row r="43" spans="1:18" x14ac:dyDescent="0.35">
      <c r="A43" t="s">
        <v>34</v>
      </c>
      <c r="B43" t="s">
        <v>23</v>
      </c>
      <c r="C43" t="s">
        <v>24</v>
      </c>
      <c r="D43" t="s">
        <v>32</v>
      </c>
      <c r="E43" t="s">
        <v>26</v>
      </c>
      <c r="F43" t="s">
        <v>27</v>
      </c>
      <c r="G43">
        <v>1285</v>
      </c>
      <c r="H43" t="s">
        <v>28</v>
      </c>
    </row>
    <row r="44" spans="1:18" x14ac:dyDescent="0.35">
      <c r="A44" t="s">
        <v>34</v>
      </c>
      <c r="B44" t="s">
        <v>23</v>
      </c>
      <c r="C44" t="s">
        <v>24</v>
      </c>
      <c r="D44" t="s">
        <v>32</v>
      </c>
      <c r="E44" t="s">
        <v>26</v>
      </c>
      <c r="F44" t="s">
        <v>30</v>
      </c>
      <c r="G44">
        <v>2437</v>
      </c>
      <c r="H44" t="s">
        <v>28</v>
      </c>
    </row>
    <row r="45" spans="1:18" x14ac:dyDescent="0.35">
      <c r="A45" t="s">
        <v>34</v>
      </c>
      <c r="B45" t="s">
        <v>23</v>
      </c>
      <c r="C45" t="s">
        <v>24</v>
      </c>
      <c r="D45" t="s">
        <v>31</v>
      </c>
      <c r="E45" t="s">
        <v>26</v>
      </c>
      <c r="F45" t="s">
        <v>27</v>
      </c>
      <c r="G45">
        <v>3395</v>
      </c>
      <c r="H45" t="s">
        <v>28</v>
      </c>
    </row>
    <row r="46" spans="1:18" x14ac:dyDescent="0.35">
      <c r="A46" t="s">
        <v>34</v>
      </c>
      <c r="B46" t="s">
        <v>23</v>
      </c>
      <c r="C46" t="s">
        <v>24</v>
      </c>
      <c r="D46" t="s">
        <v>31</v>
      </c>
      <c r="E46" t="s">
        <v>26</v>
      </c>
      <c r="F46" t="s">
        <v>30</v>
      </c>
      <c r="G46">
        <v>2703</v>
      </c>
      <c r="H46" t="s">
        <v>28</v>
      </c>
    </row>
    <row r="47" spans="1:18" x14ac:dyDescent="0.35">
      <c r="A47" t="s">
        <v>34</v>
      </c>
      <c r="B47" t="s">
        <v>23</v>
      </c>
      <c r="C47" t="s">
        <v>24</v>
      </c>
      <c r="D47" t="s">
        <v>25</v>
      </c>
      <c r="E47" t="s">
        <v>26</v>
      </c>
      <c r="F47" t="s">
        <v>27</v>
      </c>
      <c r="G47">
        <v>4184</v>
      </c>
      <c r="H47" t="s">
        <v>28</v>
      </c>
    </row>
    <row r="48" spans="1:18" x14ac:dyDescent="0.35">
      <c r="A48" t="s">
        <v>34</v>
      </c>
      <c r="B48" t="s">
        <v>23</v>
      </c>
      <c r="C48" t="s">
        <v>24</v>
      </c>
      <c r="D48" t="s">
        <v>25</v>
      </c>
      <c r="E48" t="s">
        <v>26</v>
      </c>
      <c r="F48" t="s">
        <v>30</v>
      </c>
      <c r="G48">
        <v>1693</v>
      </c>
      <c r="H48" t="s">
        <v>28</v>
      </c>
    </row>
    <row r="52" spans="9:16" x14ac:dyDescent="0.35">
      <c r="I52" s="13" t="s">
        <v>57</v>
      </c>
      <c r="J52" s="13" t="s">
        <v>3</v>
      </c>
      <c r="K52" s="13" t="s">
        <v>4</v>
      </c>
      <c r="L52" s="13" t="s">
        <v>5</v>
      </c>
      <c r="M52" s="13" t="s">
        <v>6</v>
      </c>
      <c r="N52" s="13" t="s">
        <v>58</v>
      </c>
      <c r="O52" s="13" t="s">
        <v>59</v>
      </c>
      <c r="P52" s="13" t="s">
        <v>60</v>
      </c>
    </row>
    <row r="53" spans="9:16" x14ac:dyDescent="0.35">
      <c r="I53" s="14">
        <v>1</v>
      </c>
      <c r="J53" s="14" t="s">
        <v>61</v>
      </c>
      <c r="K53" s="14">
        <v>159</v>
      </c>
      <c r="L53" s="14">
        <v>173</v>
      </c>
      <c r="M53" s="14">
        <v>135</v>
      </c>
      <c r="N53" s="14">
        <f>SUM(K53:M53)</f>
        <v>467</v>
      </c>
      <c r="O53" s="15">
        <v>0.05</v>
      </c>
      <c r="P53" s="14">
        <f>N53*O53</f>
        <v>23.35</v>
      </c>
    </row>
    <row r="54" spans="9:16" x14ac:dyDescent="0.35">
      <c r="I54" s="14">
        <v>2</v>
      </c>
      <c r="J54" s="14" t="s">
        <v>62</v>
      </c>
      <c r="K54" s="14">
        <v>168</v>
      </c>
      <c r="L54" s="14">
        <v>169</v>
      </c>
      <c r="M54" s="14">
        <v>180</v>
      </c>
      <c r="N54" s="14">
        <f t="shared" ref="N54:N56" si="0">SUM(K54:M54)</f>
        <v>517</v>
      </c>
      <c r="O54" s="15">
        <v>7.0000000000000007E-2</v>
      </c>
      <c r="P54" s="14">
        <f t="shared" ref="P54:P56" si="1">N54*O54</f>
        <v>36.190000000000005</v>
      </c>
    </row>
    <row r="55" spans="9:16" x14ac:dyDescent="0.35">
      <c r="I55" s="14">
        <v>3</v>
      </c>
      <c r="J55" s="14" t="s">
        <v>63</v>
      </c>
      <c r="K55" s="14">
        <v>133</v>
      </c>
      <c r="L55" s="14">
        <v>159</v>
      </c>
      <c r="M55" s="14">
        <v>144</v>
      </c>
      <c r="N55" s="14">
        <f t="shared" si="0"/>
        <v>436</v>
      </c>
      <c r="O55" s="15">
        <v>0.12</v>
      </c>
      <c r="P55" s="14">
        <f t="shared" si="1"/>
        <v>52.32</v>
      </c>
    </row>
    <row r="56" spans="9:16" x14ac:dyDescent="0.35">
      <c r="I56" s="14">
        <v>4</v>
      </c>
      <c r="J56" s="14" t="s">
        <v>64</v>
      </c>
      <c r="K56" s="14">
        <v>166</v>
      </c>
      <c r="L56" s="14">
        <v>184</v>
      </c>
      <c r="M56" s="14">
        <v>149</v>
      </c>
      <c r="N56" s="14">
        <f t="shared" si="0"/>
        <v>499</v>
      </c>
      <c r="O56" s="15">
        <v>0.13</v>
      </c>
      <c r="P56" s="14">
        <f t="shared" si="1"/>
        <v>64.87</v>
      </c>
    </row>
    <row r="59" spans="9:16" x14ac:dyDescent="0.35">
      <c r="I59" s="16" t="s">
        <v>65</v>
      </c>
    </row>
    <row r="60" spans="9:16" x14ac:dyDescent="0.35">
      <c r="I60" t="s">
        <v>66</v>
      </c>
    </row>
    <row r="61" spans="9:16" x14ac:dyDescent="0.35">
      <c r="I61" t="s">
        <v>67</v>
      </c>
    </row>
    <row r="62" spans="9:16" x14ac:dyDescent="0.35">
      <c r="N62" s="16" t="s">
        <v>53</v>
      </c>
    </row>
    <row r="63" spans="9:16" x14ac:dyDescent="0.35">
      <c r="N63" t="s">
        <v>75</v>
      </c>
    </row>
    <row r="64" spans="9:16" x14ac:dyDescent="0.35">
      <c r="I64" s="17" t="s">
        <v>68</v>
      </c>
      <c r="J64" s="17" t="s">
        <v>69</v>
      </c>
      <c r="K64" s="17" t="s">
        <v>70</v>
      </c>
      <c r="L64" s="17" t="s">
        <v>71</v>
      </c>
      <c r="M64" s="17" t="s">
        <v>72</v>
      </c>
      <c r="N64" s="17" t="s">
        <v>73</v>
      </c>
      <c r="O64" s="17" t="s">
        <v>74</v>
      </c>
    </row>
    <row r="65" spans="9:15" x14ac:dyDescent="0.35">
      <c r="I65">
        <v>2</v>
      </c>
      <c r="J65">
        <v>4</v>
      </c>
      <c r="K65">
        <v>2</v>
      </c>
      <c r="L65">
        <v>2</v>
      </c>
      <c r="M65">
        <f>MIN(I65:L66)</f>
        <v>2</v>
      </c>
      <c r="N65">
        <f>MAX(I65:M66)</f>
        <v>10</v>
      </c>
      <c r="O65">
        <f>AVERAGE(I65:L66)</f>
        <v>3.75</v>
      </c>
    </row>
    <row r="66" spans="9:15" x14ac:dyDescent="0.35">
      <c r="I66">
        <v>4</v>
      </c>
      <c r="J66">
        <v>2</v>
      </c>
      <c r="K66">
        <v>10</v>
      </c>
      <c r="L66">
        <v>4</v>
      </c>
    </row>
    <row r="68" spans="9:15" x14ac:dyDescent="0.35">
      <c r="I68" s="18">
        <f>SUM(I65:I66)</f>
        <v>6</v>
      </c>
      <c r="J68" s="18">
        <f t="shared" ref="J68:L68" si="2">SUM(J65:J66)</f>
        <v>6</v>
      </c>
      <c r="K68" s="18">
        <f t="shared" si="2"/>
        <v>12</v>
      </c>
      <c r="L68" s="18">
        <f t="shared" si="2"/>
        <v>6</v>
      </c>
      <c r="M68" s="18"/>
      <c r="N68" s="18"/>
      <c r="O68" s="18"/>
    </row>
    <row r="71" spans="9:15" x14ac:dyDescent="0.35">
      <c r="I71" s="36" t="s">
        <v>60</v>
      </c>
      <c r="J71" s="36"/>
      <c r="K71" s="36"/>
    </row>
    <row r="72" spans="9:15" x14ac:dyDescent="0.35">
      <c r="I72" t="s">
        <v>76</v>
      </c>
      <c r="J72" t="s">
        <v>59</v>
      </c>
    </row>
    <row r="73" spans="9:15" x14ac:dyDescent="0.35">
      <c r="I73">
        <v>100000</v>
      </c>
      <c r="J73" s="19">
        <v>0.33</v>
      </c>
      <c r="K73">
        <f>I73*J73</f>
        <v>33000</v>
      </c>
    </row>
    <row r="75" spans="9:15" x14ac:dyDescent="0.35">
      <c r="I75" t="s">
        <v>76</v>
      </c>
      <c r="J75" t="s">
        <v>77</v>
      </c>
      <c r="K75" t="s">
        <v>59</v>
      </c>
    </row>
    <row r="76" spans="9:15" x14ac:dyDescent="0.35">
      <c r="I76">
        <v>10000</v>
      </c>
      <c r="J76" s="19">
        <v>0.12</v>
      </c>
      <c r="K76">
        <f>I76*J76</f>
        <v>1200</v>
      </c>
    </row>
    <row r="77" spans="9:15" x14ac:dyDescent="0.35">
      <c r="I77">
        <v>250000</v>
      </c>
      <c r="J77" s="19">
        <v>0.23</v>
      </c>
      <c r="K77">
        <f>I77*J77</f>
        <v>57500</v>
      </c>
    </row>
    <row r="81" spans="8:14" ht="15" thickBot="1" x14ac:dyDescent="0.4"/>
    <row r="82" spans="8:14" x14ac:dyDescent="0.35">
      <c r="H82" s="30" t="s">
        <v>78</v>
      </c>
      <c r="I82" s="30" t="s">
        <v>79</v>
      </c>
      <c r="J82" s="30" t="s">
        <v>80</v>
      </c>
      <c r="K82" s="20" t="s">
        <v>81</v>
      </c>
    </row>
    <row r="83" spans="8:14" ht="15" thickBot="1" x14ac:dyDescent="0.4">
      <c r="H83" s="31"/>
      <c r="I83" s="31"/>
      <c r="J83" s="31"/>
      <c r="K83" s="21" t="s">
        <v>82</v>
      </c>
      <c r="M83" s="18" t="s">
        <v>83</v>
      </c>
      <c r="N83" s="29">
        <f>SUM(K84:K129)</f>
        <v>8113049</v>
      </c>
    </row>
    <row r="84" spans="8:14" ht="15" thickBot="1" x14ac:dyDescent="0.4">
      <c r="H84" s="22" t="s">
        <v>84</v>
      </c>
      <c r="I84" s="23">
        <v>45576</v>
      </c>
      <c r="J84" s="24" t="s">
        <v>85</v>
      </c>
      <c r="K84" s="25">
        <v>229147</v>
      </c>
      <c r="M84" s="18" t="s">
        <v>86</v>
      </c>
      <c r="N84" s="29">
        <f>MAX(K84:K130)</f>
        <v>280567</v>
      </c>
    </row>
    <row r="85" spans="8:14" ht="15" thickBot="1" x14ac:dyDescent="0.4">
      <c r="H85" s="22" t="s">
        <v>87</v>
      </c>
      <c r="I85" s="23">
        <v>45576</v>
      </c>
      <c r="J85" s="24" t="s">
        <v>85</v>
      </c>
      <c r="K85" s="25">
        <v>213633</v>
      </c>
      <c r="M85" s="18" t="s">
        <v>88</v>
      </c>
      <c r="N85" s="29">
        <f>MIN(K84:K129)</f>
        <v>102876</v>
      </c>
    </row>
    <row r="86" spans="8:14" ht="15" thickBot="1" x14ac:dyDescent="0.4">
      <c r="H86" s="22" t="s">
        <v>89</v>
      </c>
      <c r="I86" s="23">
        <v>45576</v>
      </c>
      <c r="J86" s="24" t="s">
        <v>85</v>
      </c>
      <c r="K86" s="25">
        <v>203796</v>
      </c>
      <c r="M86" s="18" t="s">
        <v>90</v>
      </c>
      <c r="N86" s="29">
        <f>AVERAGE(K84:K129)</f>
        <v>188675.55813953487</v>
      </c>
    </row>
    <row r="87" spans="8:14" ht="15" thickBot="1" x14ac:dyDescent="0.4">
      <c r="H87" s="22" t="s">
        <v>91</v>
      </c>
      <c r="I87" s="23">
        <v>45576</v>
      </c>
      <c r="J87" s="24" t="s">
        <v>85</v>
      </c>
      <c r="K87" s="25">
        <v>188122</v>
      </c>
      <c r="M87" s="18" t="s">
        <v>92</v>
      </c>
      <c r="N87">
        <f>COUNT(K84:K129)</f>
        <v>43</v>
      </c>
    </row>
    <row r="88" spans="8:14" ht="15" thickBot="1" x14ac:dyDescent="0.4">
      <c r="H88" s="22" t="s">
        <v>93</v>
      </c>
      <c r="I88" s="23">
        <v>45576</v>
      </c>
      <c r="J88" s="24" t="s">
        <v>85</v>
      </c>
      <c r="K88" s="25">
        <v>230262</v>
      </c>
      <c r="M88" s="18" t="s">
        <v>94</v>
      </c>
      <c r="N88">
        <f>COUNTA(K84:K130)</f>
        <v>43</v>
      </c>
    </row>
    <row r="89" spans="8:14" ht="15" thickBot="1" x14ac:dyDescent="0.4">
      <c r="H89" s="22" t="s">
        <v>95</v>
      </c>
      <c r="I89" s="23">
        <v>45576</v>
      </c>
      <c r="J89" s="24" t="s">
        <v>85</v>
      </c>
      <c r="K89" s="25"/>
    </row>
    <row r="90" spans="8:14" ht="15" thickBot="1" x14ac:dyDescent="0.4">
      <c r="H90" s="22" t="s">
        <v>96</v>
      </c>
      <c r="I90" s="23">
        <v>45576</v>
      </c>
      <c r="J90" s="24" t="s">
        <v>85</v>
      </c>
      <c r="K90" s="25">
        <v>217227</v>
      </c>
    </row>
    <row r="91" spans="8:14" ht="15" thickBot="1" x14ac:dyDescent="0.4">
      <c r="H91" s="22" t="s">
        <v>97</v>
      </c>
      <c r="I91" s="23">
        <v>45576</v>
      </c>
      <c r="J91" s="24" t="s">
        <v>85</v>
      </c>
      <c r="K91" s="25">
        <v>190767</v>
      </c>
    </row>
    <row r="92" spans="8:14" ht="15" thickBot="1" x14ac:dyDescent="0.4">
      <c r="H92" s="22" t="s">
        <v>98</v>
      </c>
      <c r="I92" s="23">
        <v>45576</v>
      </c>
      <c r="J92" s="24" t="s">
        <v>85</v>
      </c>
      <c r="K92" s="25">
        <v>122729</v>
      </c>
    </row>
    <row r="93" spans="8:14" ht="15" thickBot="1" x14ac:dyDescent="0.4">
      <c r="H93" s="22" t="s">
        <v>99</v>
      </c>
      <c r="I93" s="23">
        <v>45576</v>
      </c>
      <c r="J93" s="24" t="s">
        <v>85</v>
      </c>
      <c r="K93" s="25">
        <v>111825</v>
      </c>
    </row>
    <row r="94" spans="8:14" ht="15" thickBot="1" x14ac:dyDescent="0.4">
      <c r="H94" s="22" t="s">
        <v>100</v>
      </c>
      <c r="I94" s="23">
        <v>45576</v>
      </c>
      <c r="J94" s="24" t="s">
        <v>85</v>
      </c>
      <c r="K94" s="25">
        <v>197398</v>
      </c>
    </row>
    <row r="95" spans="8:14" ht="15" thickBot="1" x14ac:dyDescent="0.4">
      <c r="H95" s="22" t="s">
        <v>101</v>
      </c>
      <c r="I95" s="23">
        <v>45576</v>
      </c>
      <c r="J95" s="24" t="s">
        <v>85</v>
      </c>
      <c r="K95" s="25"/>
    </row>
    <row r="96" spans="8:14" ht="15" thickBot="1" x14ac:dyDescent="0.4">
      <c r="H96" s="22" t="s">
        <v>102</v>
      </c>
      <c r="I96" s="23">
        <v>45576</v>
      </c>
      <c r="J96" s="24" t="s">
        <v>85</v>
      </c>
      <c r="K96" s="25">
        <v>159430</v>
      </c>
    </row>
    <row r="97" spans="8:11" ht="15" thickBot="1" x14ac:dyDescent="0.4">
      <c r="H97" s="22" t="s">
        <v>103</v>
      </c>
      <c r="I97" s="23">
        <v>45576</v>
      </c>
      <c r="J97" s="24" t="s">
        <v>85</v>
      </c>
      <c r="K97" s="25">
        <v>191049</v>
      </c>
    </row>
    <row r="98" spans="8:11" ht="15" thickBot="1" x14ac:dyDescent="0.4">
      <c r="H98" s="22" t="s">
        <v>104</v>
      </c>
      <c r="I98" s="23">
        <v>45576</v>
      </c>
      <c r="J98" s="24" t="s">
        <v>85</v>
      </c>
      <c r="K98" s="25">
        <v>262525</v>
      </c>
    </row>
    <row r="99" spans="8:11" ht="15" thickBot="1" x14ac:dyDescent="0.4">
      <c r="H99" s="22" t="s">
        <v>105</v>
      </c>
      <c r="I99" s="23">
        <v>45576</v>
      </c>
      <c r="J99" s="24" t="s">
        <v>85</v>
      </c>
      <c r="K99" s="25">
        <v>151117</v>
      </c>
    </row>
    <row r="100" spans="8:11" ht="15" thickBot="1" x14ac:dyDescent="0.4">
      <c r="H100" s="22" t="s">
        <v>106</v>
      </c>
      <c r="I100" s="23">
        <v>45576</v>
      </c>
      <c r="J100" s="24" t="s">
        <v>85</v>
      </c>
      <c r="K100" s="25"/>
    </row>
    <row r="101" spans="8:11" ht="15" thickBot="1" x14ac:dyDescent="0.4">
      <c r="H101" s="22" t="s">
        <v>107</v>
      </c>
      <c r="I101" s="23">
        <v>45576</v>
      </c>
      <c r="J101" s="24" t="s">
        <v>85</v>
      </c>
      <c r="K101" s="25">
        <v>280567</v>
      </c>
    </row>
    <row r="102" spans="8:11" ht="15" thickBot="1" x14ac:dyDescent="0.4">
      <c r="H102" s="22" t="s">
        <v>108</v>
      </c>
      <c r="I102" s="23">
        <v>45576</v>
      </c>
      <c r="J102" s="24" t="s">
        <v>85</v>
      </c>
      <c r="K102" s="25">
        <v>146189</v>
      </c>
    </row>
    <row r="103" spans="8:11" ht="28.5" thickBot="1" x14ac:dyDescent="0.4">
      <c r="H103" s="26" t="s">
        <v>109</v>
      </c>
      <c r="I103" s="23">
        <v>45576</v>
      </c>
      <c r="J103" s="24" t="s">
        <v>85</v>
      </c>
      <c r="K103" s="27">
        <v>267855</v>
      </c>
    </row>
    <row r="104" spans="8:11" ht="15" thickBot="1" x14ac:dyDescent="0.4">
      <c r="H104" s="26" t="s">
        <v>110</v>
      </c>
      <c r="I104" s="23">
        <v>45576</v>
      </c>
      <c r="J104" s="24" t="s">
        <v>85</v>
      </c>
      <c r="K104" s="27">
        <v>156610</v>
      </c>
    </row>
    <row r="105" spans="8:11" ht="28.5" thickBot="1" x14ac:dyDescent="0.4">
      <c r="H105" s="26" t="s">
        <v>111</v>
      </c>
      <c r="I105" s="23">
        <v>45576</v>
      </c>
      <c r="J105" s="24" t="s">
        <v>85</v>
      </c>
      <c r="K105" s="27">
        <v>191136</v>
      </c>
    </row>
    <row r="106" spans="8:11" ht="15" thickBot="1" x14ac:dyDescent="0.4">
      <c r="H106" s="26" t="s">
        <v>112</v>
      </c>
      <c r="I106" s="23">
        <v>45576</v>
      </c>
      <c r="J106" s="24" t="s">
        <v>85</v>
      </c>
      <c r="K106" s="27">
        <v>161873</v>
      </c>
    </row>
    <row r="107" spans="8:11" ht="15" thickBot="1" x14ac:dyDescent="0.4">
      <c r="H107" s="26" t="s">
        <v>113</v>
      </c>
      <c r="I107" s="23">
        <v>45576</v>
      </c>
      <c r="J107" s="24" t="s">
        <v>85</v>
      </c>
      <c r="K107" s="27">
        <v>129475</v>
      </c>
    </row>
    <row r="108" spans="8:11" ht="15" thickBot="1" x14ac:dyDescent="0.4">
      <c r="H108" s="26" t="s">
        <v>114</v>
      </c>
      <c r="I108" s="23">
        <v>45576</v>
      </c>
      <c r="J108" s="24" t="s">
        <v>85</v>
      </c>
      <c r="K108" s="27">
        <v>189525</v>
      </c>
    </row>
    <row r="109" spans="8:11" ht="15" thickBot="1" x14ac:dyDescent="0.4">
      <c r="H109" s="26" t="s">
        <v>115</v>
      </c>
      <c r="I109" s="23">
        <v>45576</v>
      </c>
      <c r="J109" s="24" t="s">
        <v>85</v>
      </c>
      <c r="K109" s="27">
        <v>190639</v>
      </c>
    </row>
    <row r="110" spans="8:11" ht="28.5" thickBot="1" x14ac:dyDescent="0.4">
      <c r="H110" s="26" t="s">
        <v>116</v>
      </c>
      <c r="I110" s="23">
        <v>45576</v>
      </c>
      <c r="J110" s="24" t="s">
        <v>85</v>
      </c>
      <c r="K110" s="27">
        <v>159892</v>
      </c>
    </row>
    <row r="111" spans="8:11" ht="15" thickBot="1" x14ac:dyDescent="0.4">
      <c r="H111" s="26" t="s">
        <v>117</v>
      </c>
      <c r="I111" s="23">
        <v>45576</v>
      </c>
      <c r="J111" s="24" t="s">
        <v>85</v>
      </c>
      <c r="K111" s="27">
        <v>250222</v>
      </c>
    </row>
    <row r="112" spans="8:11" ht="15" thickBot="1" x14ac:dyDescent="0.4">
      <c r="H112" s="26" t="s">
        <v>118</v>
      </c>
      <c r="I112" s="23">
        <v>45576</v>
      </c>
      <c r="J112" s="24" t="s">
        <v>85</v>
      </c>
      <c r="K112" s="27">
        <v>134485</v>
      </c>
    </row>
    <row r="113" spans="8:11" ht="28.5" thickBot="1" x14ac:dyDescent="0.4">
      <c r="H113" s="26" t="s">
        <v>119</v>
      </c>
      <c r="I113" s="23">
        <v>45576</v>
      </c>
      <c r="J113" s="24" t="s">
        <v>85</v>
      </c>
      <c r="K113" s="27">
        <v>190170</v>
      </c>
    </row>
    <row r="114" spans="8:11" ht="28.5" thickBot="1" x14ac:dyDescent="0.4">
      <c r="H114" s="26" t="s">
        <v>120</v>
      </c>
      <c r="I114" s="23">
        <v>45576</v>
      </c>
      <c r="J114" s="24" t="s">
        <v>85</v>
      </c>
      <c r="K114" s="28">
        <v>181146</v>
      </c>
    </row>
    <row r="115" spans="8:11" ht="15" thickBot="1" x14ac:dyDescent="0.4">
      <c r="H115" s="26" t="s">
        <v>121</v>
      </c>
      <c r="I115" s="23">
        <v>45576</v>
      </c>
      <c r="J115" s="24" t="s">
        <v>85</v>
      </c>
      <c r="K115" s="27">
        <v>121283</v>
      </c>
    </row>
    <row r="116" spans="8:11" ht="15" thickBot="1" x14ac:dyDescent="0.4">
      <c r="H116" s="26" t="s">
        <v>122</v>
      </c>
      <c r="I116" s="23">
        <v>45576</v>
      </c>
      <c r="J116" s="24" t="s">
        <v>85</v>
      </c>
      <c r="K116" s="27">
        <v>203471</v>
      </c>
    </row>
    <row r="117" spans="8:11" ht="28.5" thickBot="1" x14ac:dyDescent="0.4">
      <c r="H117" s="26" t="s">
        <v>123</v>
      </c>
      <c r="I117" s="23">
        <v>45576</v>
      </c>
      <c r="J117" s="24" t="s">
        <v>85</v>
      </c>
      <c r="K117" s="27">
        <v>169343</v>
      </c>
    </row>
    <row r="118" spans="8:11" ht="28.5" thickBot="1" x14ac:dyDescent="0.4">
      <c r="H118" s="26" t="s">
        <v>124</v>
      </c>
      <c r="I118" s="23">
        <v>45576</v>
      </c>
      <c r="J118" s="24" t="s">
        <v>85</v>
      </c>
      <c r="K118" s="27">
        <v>136522</v>
      </c>
    </row>
    <row r="119" spans="8:11" ht="15" thickBot="1" x14ac:dyDescent="0.4">
      <c r="H119" s="26" t="s">
        <v>125</v>
      </c>
      <c r="I119" s="23">
        <v>45576</v>
      </c>
      <c r="J119" s="24" t="s">
        <v>85</v>
      </c>
      <c r="K119" s="27">
        <v>221415</v>
      </c>
    </row>
    <row r="120" spans="8:11" ht="28.5" thickBot="1" x14ac:dyDescent="0.4">
      <c r="H120" s="26" t="s">
        <v>126</v>
      </c>
      <c r="I120" s="23">
        <v>45576</v>
      </c>
      <c r="J120" s="24" t="s">
        <v>85</v>
      </c>
      <c r="K120" s="27">
        <v>251696</v>
      </c>
    </row>
    <row r="121" spans="8:11" ht="15" thickBot="1" x14ac:dyDescent="0.4">
      <c r="H121" s="26" t="s">
        <v>127</v>
      </c>
      <c r="I121" s="23">
        <v>45576</v>
      </c>
      <c r="J121" s="24" t="s">
        <v>85</v>
      </c>
      <c r="K121" s="27">
        <v>221665</v>
      </c>
    </row>
    <row r="122" spans="8:11" ht="15" thickBot="1" x14ac:dyDescent="0.4">
      <c r="H122" s="26" t="s">
        <v>128</v>
      </c>
      <c r="I122" s="23">
        <v>45576</v>
      </c>
      <c r="J122" s="24" t="s">
        <v>85</v>
      </c>
      <c r="K122" s="27">
        <v>275555</v>
      </c>
    </row>
    <row r="123" spans="8:11" ht="15" thickBot="1" x14ac:dyDescent="0.4">
      <c r="H123" s="26" t="s">
        <v>129</v>
      </c>
      <c r="I123" s="23">
        <v>45576</v>
      </c>
      <c r="J123" s="24" t="s">
        <v>85</v>
      </c>
      <c r="K123" s="27">
        <v>143909</v>
      </c>
    </row>
    <row r="124" spans="8:11" ht="15" thickBot="1" x14ac:dyDescent="0.4">
      <c r="H124" s="26" t="s">
        <v>130</v>
      </c>
      <c r="I124" s="23">
        <v>45576</v>
      </c>
      <c r="J124" s="24" t="s">
        <v>85</v>
      </c>
      <c r="K124" s="27">
        <v>102876</v>
      </c>
    </row>
    <row r="125" spans="8:11" ht="15" thickBot="1" x14ac:dyDescent="0.4">
      <c r="H125" s="26" t="s">
        <v>131</v>
      </c>
      <c r="I125" s="23">
        <v>45576</v>
      </c>
      <c r="J125" s="24" t="s">
        <v>85</v>
      </c>
      <c r="K125" s="27">
        <v>182358</v>
      </c>
    </row>
    <row r="126" spans="8:11" ht="28.5" thickBot="1" x14ac:dyDescent="0.4">
      <c r="H126" s="26" t="s">
        <v>132</v>
      </c>
      <c r="I126" s="23">
        <v>45576</v>
      </c>
      <c r="J126" s="24" t="s">
        <v>85</v>
      </c>
      <c r="K126" s="27">
        <v>208388</v>
      </c>
    </row>
    <row r="127" spans="8:11" ht="15" thickBot="1" x14ac:dyDescent="0.4">
      <c r="H127" s="26" t="s">
        <v>133</v>
      </c>
      <c r="I127" s="23">
        <v>45576</v>
      </c>
      <c r="J127" s="24" t="s">
        <v>85</v>
      </c>
      <c r="K127" s="27">
        <v>171272</v>
      </c>
    </row>
    <row r="128" spans="8:11" ht="15" thickBot="1" x14ac:dyDescent="0.4">
      <c r="H128" s="26" t="s">
        <v>134</v>
      </c>
      <c r="I128" s="23">
        <v>45576</v>
      </c>
      <c r="J128" s="24" t="s">
        <v>85</v>
      </c>
      <c r="K128" s="27">
        <v>258583</v>
      </c>
    </row>
    <row r="129" spans="1:13" ht="15" thickBot="1" x14ac:dyDescent="0.4">
      <c r="H129" s="26" t="s">
        <v>135</v>
      </c>
      <c r="I129" s="23">
        <v>45576</v>
      </c>
      <c r="J129" s="24" t="s">
        <v>85</v>
      </c>
      <c r="K129" s="27">
        <v>145902</v>
      </c>
    </row>
    <row r="132" spans="1:13" x14ac:dyDescent="0.35">
      <c r="A132" s="37" t="s">
        <v>590</v>
      </c>
      <c r="B132" s="37"/>
      <c r="C132" s="37"/>
      <c r="D132" s="37"/>
      <c r="E132" s="37"/>
      <c r="F132" s="37"/>
      <c r="G132" s="37"/>
    </row>
    <row r="133" spans="1:13" x14ac:dyDescent="0.35">
      <c r="A133" s="37"/>
      <c r="B133" s="37"/>
      <c r="C133" s="37"/>
      <c r="D133" s="37"/>
      <c r="E133" s="37"/>
      <c r="F133" s="37"/>
      <c r="G133" s="37"/>
    </row>
    <row r="134" spans="1:13" x14ac:dyDescent="0.35">
      <c r="A134" s="37"/>
      <c r="B134" s="37"/>
      <c r="C134" s="37"/>
      <c r="D134" s="37"/>
      <c r="E134" s="37"/>
      <c r="F134" s="37"/>
      <c r="G134" s="37"/>
    </row>
    <row r="136" spans="1:13" x14ac:dyDescent="0.35">
      <c r="A136" t="s">
        <v>136</v>
      </c>
      <c r="B136" t="s">
        <v>14</v>
      </c>
      <c r="C136" t="s">
        <v>15</v>
      </c>
      <c r="D136" t="s">
        <v>137</v>
      </c>
      <c r="E136" t="s">
        <v>16</v>
      </c>
      <c r="F136" t="s">
        <v>17</v>
      </c>
      <c r="G136" t="s">
        <v>18</v>
      </c>
      <c r="H136" t="s">
        <v>19</v>
      </c>
      <c r="I136" t="s">
        <v>20</v>
      </c>
      <c r="J136" s="38"/>
      <c r="K136" s="38"/>
      <c r="L136" s="42" t="s">
        <v>53</v>
      </c>
      <c r="M136" s="44"/>
    </row>
    <row r="137" spans="1:13" x14ac:dyDescent="0.35">
      <c r="A137">
        <v>1</v>
      </c>
      <c r="B137" t="s">
        <v>22</v>
      </c>
      <c r="C137" t="s">
        <v>23</v>
      </c>
      <c r="D137" t="s">
        <v>138</v>
      </c>
      <c r="E137" t="s">
        <v>24</v>
      </c>
      <c r="F137" t="s">
        <v>29</v>
      </c>
      <c r="G137" t="s">
        <v>26</v>
      </c>
      <c r="H137" t="s">
        <v>27</v>
      </c>
      <c r="I137">
        <v>50</v>
      </c>
      <c r="J137" s="38"/>
      <c r="K137" s="38"/>
      <c r="L137" s="43" t="s">
        <v>139</v>
      </c>
      <c r="M137" s="44"/>
    </row>
    <row r="138" spans="1:13" x14ac:dyDescent="0.35">
      <c r="A138">
        <v>1</v>
      </c>
      <c r="B138" t="s">
        <v>33</v>
      </c>
      <c r="C138" t="s">
        <v>23</v>
      </c>
      <c r="D138" t="s">
        <v>138</v>
      </c>
      <c r="E138" t="s">
        <v>24</v>
      </c>
      <c r="F138" t="s">
        <v>29</v>
      </c>
      <c r="G138" t="s">
        <v>26</v>
      </c>
      <c r="H138" t="s">
        <v>27</v>
      </c>
      <c r="I138">
        <v>50</v>
      </c>
      <c r="J138" s="38"/>
      <c r="K138" s="38"/>
      <c r="L138" s="43" t="s">
        <v>140</v>
      </c>
      <c r="M138" s="44"/>
    </row>
    <row r="139" spans="1:13" x14ac:dyDescent="0.35">
      <c r="A139">
        <v>1</v>
      </c>
      <c r="B139" t="s">
        <v>34</v>
      </c>
      <c r="C139" t="s">
        <v>23</v>
      </c>
      <c r="D139" t="s">
        <v>138</v>
      </c>
      <c r="E139" t="s">
        <v>24</v>
      </c>
      <c r="F139" t="s">
        <v>29</v>
      </c>
      <c r="G139" t="s">
        <v>26</v>
      </c>
      <c r="H139" t="s">
        <v>27</v>
      </c>
      <c r="I139">
        <v>50</v>
      </c>
      <c r="J139" s="38"/>
      <c r="K139" s="38"/>
      <c r="L139" s="43"/>
      <c r="M139" s="44"/>
    </row>
    <row r="140" spans="1:13" x14ac:dyDescent="0.35">
      <c r="A140">
        <v>1</v>
      </c>
      <c r="B140" t="s">
        <v>22</v>
      </c>
      <c r="C140" t="s">
        <v>23</v>
      </c>
      <c r="D140" t="s">
        <v>138</v>
      </c>
      <c r="E140" t="s">
        <v>24</v>
      </c>
      <c r="F140" t="s">
        <v>25</v>
      </c>
      <c r="G140" t="s">
        <v>141</v>
      </c>
      <c r="H140" t="s">
        <v>30</v>
      </c>
      <c r="I140">
        <v>50</v>
      </c>
      <c r="J140" s="38"/>
      <c r="K140" s="38"/>
      <c r="L140" s="38"/>
      <c r="M140" s="38"/>
    </row>
    <row r="141" spans="1:13" x14ac:dyDescent="0.35">
      <c r="A141">
        <v>1</v>
      </c>
      <c r="B141" t="s">
        <v>34</v>
      </c>
      <c r="C141" t="s">
        <v>23</v>
      </c>
      <c r="D141" t="s">
        <v>138</v>
      </c>
      <c r="E141" t="s">
        <v>24</v>
      </c>
      <c r="F141" t="s">
        <v>31</v>
      </c>
      <c r="G141" t="s">
        <v>141</v>
      </c>
      <c r="H141" t="s">
        <v>30</v>
      </c>
      <c r="I141">
        <v>50</v>
      </c>
      <c r="J141" s="38"/>
      <c r="K141" s="38"/>
      <c r="L141" s="38"/>
      <c r="M141" s="38"/>
    </row>
    <row r="142" spans="1:13" x14ac:dyDescent="0.35">
      <c r="A142">
        <v>1</v>
      </c>
      <c r="B142" t="s">
        <v>22</v>
      </c>
      <c r="C142" t="s">
        <v>23</v>
      </c>
      <c r="D142" t="s">
        <v>142</v>
      </c>
      <c r="E142" t="s">
        <v>143</v>
      </c>
      <c r="F142" t="s">
        <v>144</v>
      </c>
      <c r="G142" t="s">
        <v>26</v>
      </c>
      <c r="H142" t="s">
        <v>30</v>
      </c>
      <c r="I142">
        <v>50</v>
      </c>
      <c r="J142" s="38"/>
      <c r="K142" s="38"/>
      <c r="L142" s="38"/>
      <c r="M142" s="38"/>
    </row>
    <row r="143" spans="1:13" x14ac:dyDescent="0.35">
      <c r="A143">
        <v>1</v>
      </c>
      <c r="B143" t="s">
        <v>33</v>
      </c>
      <c r="C143" t="s">
        <v>23</v>
      </c>
      <c r="D143" t="s">
        <v>142</v>
      </c>
      <c r="E143" t="s">
        <v>143</v>
      </c>
      <c r="F143" t="s">
        <v>145</v>
      </c>
      <c r="G143" t="s">
        <v>26</v>
      </c>
      <c r="H143" t="s">
        <v>27</v>
      </c>
      <c r="I143">
        <v>50</v>
      </c>
      <c r="J143" s="38"/>
      <c r="K143" s="38"/>
      <c r="L143" s="38"/>
      <c r="M143" s="38"/>
    </row>
    <row r="144" spans="1:13" x14ac:dyDescent="0.35">
      <c r="A144">
        <v>1</v>
      </c>
      <c r="B144" t="s">
        <v>33</v>
      </c>
      <c r="C144" t="s">
        <v>23</v>
      </c>
      <c r="D144" t="s">
        <v>142</v>
      </c>
      <c r="E144" t="s">
        <v>143</v>
      </c>
      <c r="F144" t="s">
        <v>144</v>
      </c>
      <c r="G144" t="s">
        <v>26</v>
      </c>
      <c r="H144" t="s">
        <v>27</v>
      </c>
      <c r="I144">
        <v>50</v>
      </c>
      <c r="J144" s="38"/>
      <c r="K144" s="38"/>
      <c r="L144" s="38"/>
      <c r="M144" s="38"/>
    </row>
    <row r="145" spans="1:13" x14ac:dyDescent="0.35">
      <c r="A145">
        <v>1</v>
      </c>
      <c r="B145" t="s">
        <v>22</v>
      </c>
      <c r="C145" t="s">
        <v>23</v>
      </c>
      <c r="D145" t="s">
        <v>142</v>
      </c>
      <c r="E145" t="s">
        <v>143</v>
      </c>
      <c r="F145" t="s">
        <v>146</v>
      </c>
      <c r="G145" t="s">
        <v>141</v>
      </c>
      <c r="H145" t="s">
        <v>27</v>
      </c>
      <c r="I145">
        <v>50</v>
      </c>
      <c r="J145" s="38"/>
      <c r="K145" s="38"/>
      <c r="L145" s="38"/>
      <c r="M145" s="38"/>
    </row>
    <row r="146" spans="1:13" x14ac:dyDescent="0.35">
      <c r="A146">
        <v>1</v>
      </c>
      <c r="B146" t="s">
        <v>22</v>
      </c>
      <c r="C146" t="s">
        <v>23</v>
      </c>
      <c r="D146" t="s">
        <v>142</v>
      </c>
      <c r="E146" t="s">
        <v>143</v>
      </c>
      <c r="F146" t="s">
        <v>145</v>
      </c>
      <c r="G146" t="s">
        <v>141</v>
      </c>
      <c r="H146" t="s">
        <v>27</v>
      </c>
      <c r="I146">
        <v>50</v>
      </c>
      <c r="J146" s="38"/>
      <c r="K146" s="38"/>
      <c r="L146" s="38"/>
      <c r="M146" s="38"/>
    </row>
    <row r="147" spans="1:13" x14ac:dyDescent="0.35">
      <c r="A147">
        <v>1</v>
      </c>
      <c r="B147" t="s">
        <v>33</v>
      </c>
      <c r="C147" t="s">
        <v>23</v>
      </c>
      <c r="D147" t="s">
        <v>142</v>
      </c>
      <c r="E147" t="s">
        <v>143</v>
      </c>
      <c r="F147" t="s">
        <v>145</v>
      </c>
      <c r="G147" t="s">
        <v>141</v>
      </c>
      <c r="H147" t="s">
        <v>27</v>
      </c>
      <c r="I147">
        <v>50</v>
      </c>
      <c r="J147" s="38"/>
      <c r="K147" s="38"/>
      <c r="L147" s="38"/>
      <c r="M147" s="38"/>
    </row>
    <row r="148" spans="1:13" x14ac:dyDescent="0.35">
      <c r="A148">
        <v>1</v>
      </c>
      <c r="B148" t="s">
        <v>33</v>
      </c>
      <c r="C148" t="s">
        <v>147</v>
      </c>
      <c r="D148" t="s">
        <v>148</v>
      </c>
      <c r="E148" t="s">
        <v>149</v>
      </c>
      <c r="F148" t="s">
        <v>150</v>
      </c>
      <c r="G148" t="s">
        <v>26</v>
      </c>
      <c r="H148" t="s">
        <v>30</v>
      </c>
      <c r="I148">
        <v>50</v>
      </c>
      <c r="J148" s="38"/>
      <c r="K148" s="38"/>
      <c r="L148" s="38"/>
      <c r="M148" s="38"/>
    </row>
    <row r="149" spans="1:13" x14ac:dyDescent="0.35">
      <c r="A149">
        <v>1</v>
      </c>
      <c r="B149" t="s">
        <v>34</v>
      </c>
      <c r="C149" t="s">
        <v>147</v>
      </c>
      <c r="D149" t="s">
        <v>148</v>
      </c>
      <c r="E149" t="s">
        <v>149</v>
      </c>
      <c r="F149" t="s">
        <v>151</v>
      </c>
      <c r="G149" t="s">
        <v>26</v>
      </c>
      <c r="H149" t="s">
        <v>27</v>
      </c>
      <c r="I149">
        <v>50</v>
      </c>
      <c r="J149" s="38"/>
      <c r="K149" s="38"/>
      <c r="L149" s="38"/>
      <c r="M149" s="38"/>
    </row>
    <row r="150" spans="1:13" x14ac:dyDescent="0.35">
      <c r="A150">
        <v>1</v>
      </c>
      <c r="B150" t="s">
        <v>34</v>
      </c>
      <c r="C150" t="s">
        <v>147</v>
      </c>
      <c r="D150" t="s">
        <v>148</v>
      </c>
      <c r="E150" t="s">
        <v>149</v>
      </c>
      <c r="F150" t="s">
        <v>152</v>
      </c>
      <c r="G150" t="s">
        <v>141</v>
      </c>
      <c r="H150" t="s">
        <v>27</v>
      </c>
      <c r="I150">
        <v>50</v>
      </c>
      <c r="J150" s="38"/>
      <c r="K150" s="38"/>
      <c r="L150" s="38"/>
      <c r="M150" s="38"/>
    </row>
    <row r="155" spans="1:13" ht="29" x14ac:dyDescent="0.35">
      <c r="B155" s="39" t="s">
        <v>153</v>
      </c>
      <c r="C155" s="39" t="s">
        <v>153</v>
      </c>
      <c r="D155" s="39" t="s">
        <v>154</v>
      </c>
      <c r="E155" s="39" t="s">
        <v>155</v>
      </c>
      <c r="F155" s="39" t="s">
        <v>154</v>
      </c>
      <c r="G155" s="39" t="s">
        <v>154</v>
      </c>
      <c r="H155" s="39" t="s">
        <v>154</v>
      </c>
      <c r="I155" s="39" t="s">
        <v>155</v>
      </c>
      <c r="J155" s="39" t="s">
        <v>156</v>
      </c>
      <c r="L155" s="42" t="s">
        <v>53</v>
      </c>
      <c r="M155" s="43"/>
    </row>
    <row r="156" spans="1:13" x14ac:dyDescent="0.35">
      <c r="L156" s="43" t="s">
        <v>157</v>
      </c>
      <c r="M156" s="43"/>
    </row>
    <row r="157" spans="1:13" x14ac:dyDescent="0.35">
      <c r="B157" t="s">
        <v>22</v>
      </c>
      <c r="C157" t="s">
        <v>158</v>
      </c>
      <c r="D157">
        <v>1</v>
      </c>
      <c r="E157" s="40">
        <v>45442</v>
      </c>
      <c r="F157" t="s">
        <v>159</v>
      </c>
      <c r="G157" t="s">
        <v>160</v>
      </c>
      <c r="H157" t="s">
        <v>161</v>
      </c>
      <c r="I157" t="s">
        <v>147</v>
      </c>
      <c r="J157" s="41">
        <v>29483</v>
      </c>
      <c r="L157" s="43" t="s">
        <v>162</v>
      </c>
      <c r="M157" s="43"/>
    </row>
    <row r="158" spans="1:13" x14ac:dyDescent="0.35">
      <c r="B158" t="s">
        <v>33</v>
      </c>
      <c r="C158" t="s">
        <v>163</v>
      </c>
      <c r="D158">
        <v>2</v>
      </c>
      <c r="E158" s="40">
        <v>45443</v>
      </c>
      <c r="F158" t="s">
        <v>164</v>
      </c>
      <c r="G158" t="s">
        <v>165</v>
      </c>
      <c r="H158" t="s">
        <v>166</v>
      </c>
      <c r="I158" t="s">
        <v>23</v>
      </c>
      <c r="J158" s="41">
        <v>28228</v>
      </c>
      <c r="L158" s="43"/>
      <c r="M158" s="43"/>
    </row>
    <row r="159" spans="1:13" x14ac:dyDescent="0.35">
      <c r="B159" t="s">
        <v>34</v>
      </c>
      <c r="C159" t="s">
        <v>167</v>
      </c>
      <c r="D159">
        <v>3</v>
      </c>
      <c r="E159" s="40">
        <v>45446</v>
      </c>
      <c r="F159" t="s">
        <v>168</v>
      </c>
      <c r="G159" t="s">
        <v>169</v>
      </c>
      <c r="H159" t="s">
        <v>170</v>
      </c>
      <c r="I159" t="s">
        <v>171</v>
      </c>
      <c r="J159" s="41">
        <v>28650</v>
      </c>
    </row>
    <row r="160" spans="1:13" x14ac:dyDescent="0.35">
      <c r="B160" t="s">
        <v>172</v>
      </c>
      <c r="C160" t="s">
        <v>173</v>
      </c>
      <c r="D160">
        <v>4</v>
      </c>
      <c r="E160" s="40">
        <v>45447</v>
      </c>
      <c r="F160" t="s">
        <v>174</v>
      </c>
      <c r="G160" t="s">
        <v>175</v>
      </c>
      <c r="H160" t="s">
        <v>176</v>
      </c>
      <c r="I160" t="s">
        <v>177</v>
      </c>
      <c r="J160" s="41">
        <v>19777</v>
      </c>
    </row>
    <row r="161" spans="1:10" x14ac:dyDescent="0.35">
      <c r="B161" t="s">
        <v>178</v>
      </c>
      <c r="C161" t="s">
        <v>179</v>
      </c>
      <c r="D161">
        <v>5</v>
      </c>
      <c r="E161" s="40">
        <v>45448</v>
      </c>
      <c r="F161" t="s">
        <v>180</v>
      </c>
      <c r="G161" t="s">
        <v>160</v>
      </c>
      <c r="H161" t="s">
        <v>181</v>
      </c>
      <c r="I161" t="s">
        <v>147</v>
      </c>
      <c r="J161" s="41">
        <v>22373</v>
      </c>
    </row>
    <row r="162" spans="1:10" x14ac:dyDescent="0.35">
      <c r="B162" t="s">
        <v>182</v>
      </c>
      <c r="C162" t="s">
        <v>158</v>
      </c>
      <c r="D162">
        <v>6</v>
      </c>
      <c r="E162" s="40">
        <v>45449</v>
      </c>
      <c r="F162" t="s">
        <v>183</v>
      </c>
      <c r="G162" t="s">
        <v>165</v>
      </c>
      <c r="H162" t="s">
        <v>184</v>
      </c>
      <c r="I162" t="s">
        <v>23</v>
      </c>
      <c r="J162" s="41">
        <v>25501</v>
      </c>
    </row>
    <row r="163" spans="1:10" x14ac:dyDescent="0.35">
      <c r="B163" t="s">
        <v>185</v>
      </c>
      <c r="C163" t="s">
        <v>163</v>
      </c>
      <c r="D163">
        <v>7</v>
      </c>
      <c r="E163" s="40">
        <v>45450</v>
      </c>
      <c r="F163" t="s">
        <v>186</v>
      </c>
      <c r="G163" t="s">
        <v>169</v>
      </c>
      <c r="H163" t="s">
        <v>187</v>
      </c>
      <c r="I163" t="s">
        <v>171</v>
      </c>
      <c r="J163" s="41">
        <v>12334</v>
      </c>
    </row>
    <row r="164" spans="1:10" x14ac:dyDescent="0.35">
      <c r="B164" t="s">
        <v>188</v>
      </c>
      <c r="C164" t="s">
        <v>167</v>
      </c>
      <c r="D164">
        <v>8</v>
      </c>
      <c r="E164" s="40">
        <v>45453</v>
      </c>
      <c r="F164" t="s">
        <v>189</v>
      </c>
      <c r="G164" t="s">
        <v>175</v>
      </c>
      <c r="H164" t="s">
        <v>190</v>
      </c>
      <c r="I164" t="s">
        <v>177</v>
      </c>
      <c r="J164" s="41">
        <v>11872</v>
      </c>
    </row>
    <row r="165" spans="1:10" x14ac:dyDescent="0.35">
      <c r="B165" t="s">
        <v>191</v>
      </c>
      <c r="C165" t="s">
        <v>173</v>
      </c>
      <c r="D165">
        <v>9</v>
      </c>
      <c r="E165" s="40">
        <v>45454</v>
      </c>
      <c r="F165" t="s">
        <v>192</v>
      </c>
      <c r="G165" t="s">
        <v>160</v>
      </c>
      <c r="H165" t="s">
        <v>193</v>
      </c>
      <c r="I165" t="s">
        <v>147</v>
      </c>
      <c r="J165" s="41">
        <v>16269</v>
      </c>
    </row>
    <row r="166" spans="1:10" x14ac:dyDescent="0.35">
      <c r="B166" t="s">
        <v>194</v>
      </c>
      <c r="C166" t="s">
        <v>179</v>
      </c>
      <c r="D166">
        <v>10</v>
      </c>
      <c r="E166" s="40">
        <v>45455</v>
      </c>
      <c r="F166" t="s">
        <v>195</v>
      </c>
      <c r="G166" t="s">
        <v>165</v>
      </c>
      <c r="H166" t="s">
        <v>196</v>
      </c>
      <c r="I166" t="s">
        <v>23</v>
      </c>
      <c r="J166" s="41">
        <v>15713</v>
      </c>
    </row>
    <row r="167" spans="1:10" x14ac:dyDescent="0.35">
      <c r="B167" t="s">
        <v>197</v>
      </c>
      <c r="C167" t="s">
        <v>158</v>
      </c>
      <c r="D167">
        <v>11</v>
      </c>
      <c r="E167" s="40">
        <v>45456</v>
      </c>
      <c r="F167" t="s">
        <v>198</v>
      </c>
      <c r="G167" t="s">
        <v>169</v>
      </c>
      <c r="H167" t="s">
        <v>199</v>
      </c>
      <c r="I167" t="s">
        <v>171</v>
      </c>
      <c r="J167" s="41">
        <v>20681</v>
      </c>
    </row>
    <row r="168" spans="1:10" x14ac:dyDescent="0.35">
      <c r="B168" t="s">
        <v>200</v>
      </c>
      <c r="C168" t="s">
        <v>163</v>
      </c>
      <c r="D168">
        <v>12</v>
      </c>
      <c r="E168" s="40">
        <v>45457</v>
      </c>
      <c r="F168" t="s">
        <v>201</v>
      </c>
      <c r="G168" t="s">
        <v>175</v>
      </c>
      <c r="H168" t="s">
        <v>202</v>
      </c>
      <c r="I168" t="s">
        <v>177</v>
      </c>
      <c r="J168" s="41">
        <v>22299</v>
      </c>
    </row>
    <row r="170" spans="1:10" x14ac:dyDescent="0.35">
      <c r="E170" s="40"/>
      <c r="J170" s="41"/>
    </row>
    <row r="171" spans="1:10" x14ac:dyDescent="0.35">
      <c r="J171" s="41"/>
    </row>
    <row r="172" spans="1:10" x14ac:dyDescent="0.35">
      <c r="A172" s="45" t="s">
        <v>203</v>
      </c>
      <c r="B172" s="45"/>
      <c r="C172" s="46"/>
      <c r="D172" s="47"/>
      <c r="E172" s="48"/>
      <c r="F172" s="47"/>
      <c r="G172" s="47"/>
      <c r="H172" s="42" t="s">
        <v>53</v>
      </c>
      <c r="I172" s="49"/>
    </row>
    <row r="173" spans="1:10" x14ac:dyDescent="0.35">
      <c r="A173" s="50"/>
      <c r="B173" s="50"/>
      <c r="C173" s="50"/>
      <c r="D173" s="47"/>
      <c r="E173" s="48"/>
      <c r="F173" s="47"/>
      <c r="G173" s="47"/>
      <c r="H173" s="43" t="s">
        <v>204</v>
      </c>
      <c r="I173" s="47"/>
    </row>
    <row r="174" spans="1:10" x14ac:dyDescent="0.35">
      <c r="A174" s="51" t="s">
        <v>203</v>
      </c>
      <c r="B174" s="52" t="s">
        <v>205</v>
      </c>
      <c r="C174" s="53" t="s">
        <v>206</v>
      </c>
      <c r="D174" s="47"/>
      <c r="E174" s="47"/>
      <c r="F174" s="54"/>
      <c r="G174" s="55"/>
      <c r="H174" s="43" t="s">
        <v>207</v>
      </c>
      <c r="I174" s="47"/>
    </row>
    <row r="175" spans="1:10" x14ac:dyDescent="0.35">
      <c r="A175" s="51" t="s">
        <v>208</v>
      </c>
      <c r="B175" s="56" t="s">
        <v>209</v>
      </c>
      <c r="C175" s="57" t="s">
        <v>210</v>
      </c>
      <c r="D175" s="47"/>
      <c r="E175" s="47"/>
      <c r="F175" s="54"/>
      <c r="G175" s="58"/>
      <c r="H175" s="62"/>
      <c r="I175" s="47"/>
    </row>
    <row r="176" spans="1:10" x14ac:dyDescent="0.35">
      <c r="A176" s="51" t="s">
        <v>211</v>
      </c>
      <c r="B176" s="56" t="s">
        <v>209</v>
      </c>
      <c r="C176" s="57" t="s">
        <v>212</v>
      </c>
      <c r="D176" s="47"/>
      <c r="E176" s="47"/>
      <c r="F176" s="54"/>
      <c r="G176" s="58"/>
      <c r="H176" s="58"/>
      <c r="I176" s="47"/>
    </row>
    <row r="177" spans="1:9" x14ac:dyDescent="0.35">
      <c r="A177" s="51" t="s">
        <v>213</v>
      </c>
      <c r="B177" s="56" t="s">
        <v>209</v>
      </c>
      <c r="C177" s="57" t="s">
        <v>214</v>
      </c>
      <c r="D177" s="47"/>
      <c r="E177" s="47"/>
      <c r="F177" s="54"/>
      <c r="G177" s="58"/>
      <c r="H177" s="58"/>
      <c r="I177" s="47"/>
    </row>
    <row r="178" spans="1:9" x14ac:dyDescent="0.35">
      <c r="A178" s="59" t="s">
        <v>215</v>
      </c>
      <c r="B178" s="56" t="s">
        <v>209</v>
      </c>
      <c r="C178" s="57" t="s">
        <v>216</v>
      </c>
      <c r="D178" s="47"/>
      <c r="E178" s="47"/>
      <c r="F178" s="54"/>
      <c r="G178" s="58"/>
      <c r="H178" s="58"/>
      <c r="I178" s="47"/>
    </row>
    <row r="179" spans="1:9" x14ac:dyDescent="0.35">
      <c r="A179" s="59" t="s">
        <v>217</v>
      </c>
      <c r="B179" s="56" t="s">
        <v>209</v>
      </c>
      <c r="C179" s="57" t="s">
        <v>218</v>
      </c>
      <c r="D179" s="47"/>
      <c r="E179" s="47"/>
      <c r="F179" s="54"/>
      <c r="G179" s="58"/>
      <c r="H179" s="47"/>
      <c r="I179" s="47"/>
    </row>
    <row r="180" spans="1:9" x14ac:dyDescent="0.35">
      <c r="A180" s="59" t="s">
        <v>219</v>
      </c>
      <c r="B180" s="56" t="s">
        <v>209</v>
      </c>
      <c r="C180" s="57" t="s">
        <v>220</v>
      </c>
      <c r="D180" s="47"/>
      <c r="E180" s="47"/>
      <c r="F180" s="54"/>
      <c r="G180" s="58"/>
      <c r="H180" s="58"/>
      <c r="I180" s="47"/>
    </row>
    <row r="181" spans="1:9" x14ac:dyDescent="0.35">
      <c r="A181" s="59" t="s">
        <v>221</v>
      </c>
      <c r="B181" s="56" t="s">
        <v>222</v>
      </c>
      <c r="C181" s="57" t="s">
        <v>223</v>
      </c>
      <c r="D181" s="47"/>
      <c r="E181" s="47"/>
      <c r="F181" s="54"/>
      <c r="G181" s="58"/>
      <c r="H181" s="58"/>
      <c r="I181" s="47"/>
    </row>
    <row r="182" spans="1:9" x14ac:dyDescent="0.35">
      <c r="A182" s="51" t="s">
        <v>224</v>
      </c>
      <c r="B182" s="56" t="s">
        <v>222</v>
      </c>
      <c r="C182" s="57" t="s">
        <v>225</v>
      </c>
      <c r="D182" s="47"/>
      <c r="E182" s="47"/>
      <c r="F182" s="54"/>
      <c r="G182" s="58"/>
      <c r="H182" s="58"/>
      <c r="I182" s="47"/>
    </row>
    <row r="183" spans="1:9" x14ac:dyDescent="0.35">
      <c r="A183" s="51" t="s">
        <v>226</v>
      </c>
      <c r="B183" s="56" t="s">
        <v>222</v>
      </c>
      <c r="C183" s="57" t="s">
        <v>227</v>
      </c>
      <c r="D183" s="47"/>
      <c r="E183" s="47"/>
      <c r="F183" s="54"/>
      <c r="G183" s="58"/>
      <c r="H183" s="58"/>
      <c r="I183" s="47"/>
    </row>
    <row r="184" spans="1:9" x14ac:dyDescent="0.35">
      <c r="A184" s="51" t="s">
        <v>228</v>
      </c>
      <c r="B184" s="56" t="s">
        <v>222</v>
      </c>
      <c r="C184" s="57" t="s">
        <v>229</v>
      </c>
      <c r="D184" s="47"/>
      <c r="E184" s="47"/>
      <c r="F184" s="54"/>
      <c r="G184" s="58"/>
      <c r="H184" s="58"/>
      <c r="I184" s="47"/>
    </row>
    <row r="185" spans="1:9" x14ac:dyDescent="0.35">
      <c r="A185" s="51" t="s">
        <v>230</v>
      </c>
      <c r="B185" s="56" t="s">
        <v>222</v>
      </c>
      <c r="C185" s="57" t="s">
        <v>231</v>
      </c>
      <c r="D185" s="47"/>
      <c r="E185" s="47"/>
      <c r="F185" s="47"/>
      <c r="G185" s="47"/>
      <c r="H185" s="47"/>
      <c r="I185" s="47"/>
    </row>
    <row r="186" spans="1:9" x14ac:dyDescent="0.35">
      <c r="A186" s="51" t="s">
        <v>232</v>
      </c>
      <c r="B186" s="56" t="s">
        <v>222</v>
      </c>
      <c r="C186" s="57" t="s">
        <v>233</v>
      </c>
      <c r="D186" s="47"/>
      <c r="E186" s="47"/>
      <c r="F186" s="47"/>
      <c r="G186" s="47"/>
      <c r="H186" s="47"/>
      <c r="I186" s="47"/>
    </row>
    <row r="187" spans="1:9" x14ac:dyDescent="0.35">
      <c r="A187" s="51" t="s">
        <v>234</v>
      </c>
      <c r="B187" s="56" t="s">
        <v>235</v>
      </c>
      <c r="C187" s="60" t="s">
        <v>236</v>
      </c>
      <c r="D187" s="47"/>
      <c r="E187" s="47"/>
      <c r="F187" s="47"/>
      <c r="G187" s="47"/>
      <c r="H187" s="47"/>
      <c r="I187" s="47"/>
    </row>
    <row r="188" spans="1:9" x14ac:dyDescent="0.35">
      <c r="A188" s="51" t="s">
        <v>237</v>
      </c>
      <c r="B188" s="56" t="s">
        <v>235</v>
      </c>
      <c r="C188" s="60" t="s">
        <v>238</v>
      </c>
      <c r="D188" s="47"/>
      <c r="E188" s="47"/>
      <c r="F188" s="47"/>
      <c r="G188" s="47"/>
      <c r="H188" s="47"/>
      <c r="I188" s="47"/>
    </row>
    <row r="189" spans="1:9" x14ac:dyDescent="0.35">
      <c r="A189" s="61" t="s">
        <v>239</v>
      </c>
      <c r="B189" s="56" t="s">
        <v>235</v>
      </c>
      <c r="C189" s="57" t="s">
        <v>240</v>
      </c>
      <c r="D189" s="47"/>
      <c r="E189" s="47"/>
      <c r="F189" s="47"/>
      <c r="G189" s="47"/>
      <c r="H189" s="47"/>
      <c r="I189" s="47"/>
    </row>
    <row r="190" spans="1:9" x14ac:dyDescent="0.35">
      <c r="A190" s="61" t="s">
        <v>241</v>
      </c>
      <c r="B190" s="56" t="s">
        <v>242</v>
      </c>
      <c r="C190" s="60" t="s">
        <v>243</v>
      </c>
      <c r="D190" s="47"/>
      <c r="E190" s="47"/>
      <c r="F190" s="47"/>
      <c r="G190" s="47"/>
      <c r="H190" s="47"/>
      <c r="I190" s="47"/>
    </row>
    <row r="191" spans="1:9" x14ac:dyDescent="0.35">
      <c r="A191" s="61" t="s">
        <v>244</v>
      </c>
      <c r="B191" s="56" t="s">
        <v>209</v>
      </c>
      <c r="C191" s="57" t="s">
        <v>245</v>
      </c>
      <c r="D191" s="47"/>
      <c r="E191" s="47"/>
      <c r="F191" s="47"/>
      <c r="G191" s="47"/>
      <c r="H191" s="47"/>
      <c r="I191" s="47"/>
    </row>
    <row r="192" spans="1:9" x14ac:dyDescent="0.35">
      <c r="A192" s="61" t="s">
        <v>246</v>
      </c>
      <c r="B192" s="56" t="s">
        <v>247</v>
      </c>
      <c r="C192" s="57" t="s">
        <v>248</v>
      </c>
      <c r="D192" s="47"/>
      <c r="E192" s="47"/>
      <c r="F192" s="47"/>
      <c r="G192" s="47"/>
      <c r="H192" s="47"/>
      <c r="I192" s="47"/>
    </row>
    <row r="195" spans="9:14" ht="16" x14ac:dyDescent="0.4">
      <c r="I195" s="63" t="s">
        <v>249</v>
      </c>
      <c r="J195" s="63"/>
      <c r="K195" s="63"/>
    </row>
    <row r="196" spans="9:14" ht="16" x14ac:dyDescent="0.4">
      <c r="I196" s="64"/>
      <c r="J196" s="64"/>
      <c r="K196" s="64"/>
      <c r="M196" s="42" t="s">
        <v>53</v>
      </c>
      <c r="N196" s="43"/>
    </row>
    <row r="197" spans="9:14" ht="15.5" x14ac:dyDescent="0.35">
      <c r="I197" s="65" t="s">
        <v>250</v>
      </c>
      <c r="J197" s="65" t="s">
        <v>251</v>
      </c>
      <c r="K197" s="65" t="s">
        <v>252</v>
      </c>
      <c r="M197" s="43" t="s">
        <v>249</v>
      </c>
      <c r="N197" s="43"/>
    </row>
    <row r="198" spans="9:14" ht="15.5" x14ac:dyDescent="0.35">
      <c r="I198" s="66" t="s">
        <v>253</v>
      </c>
      <c r="J198" s="67">
        <v>68670</v>
      </c>
      <c r="K198" s="68">
        <f>J198*3%</f>
        <v>2060.1</v>
      </c>
      <c r="M198" s="43" t="s">
        <v>254</v>
      </c>
      <c r="N198" s="43"/>
    </row>
    <row r="199" spans="9:14" ht="15.5" x14ac:dyDescent="0.35">
      <c r="I199" s="66" t="s">
        <v>255</v>
      </c>
      <c r="J199" s="67">
        <v>67443</v>
      </c>
      <c r="K199" s="68">
        <f>J199*3%</f>
        <v>2023.29</v>
      </c>
      <c r="M199" s="43" t="s">
        <v>256</v>
      </c>
      <c r="N199" s="43"/>
    </row>
    <row r="200" spans="9:14" ht="15.5" x14ac:dyDescent="0.35">
      <c r="I200" s="66" t="s">
        <v>257</v>
      </c>
      <c r="J200" s="67">
        <v>62088</v>
      </c>
      <c r="K200" s="68">
        <f t="shared" ref="K200:K209" si="3">J200*3%</f>
        <v>1862.6399999999999</v>
      </c>
    </row>
    <row r="201" spans="9:14" ht="15.5" x14ac:dyDescent="0.35">
      <c r="I201" s="66" t="s">
        <v>258</v>
      </c>
      <c r="J201" s="67">
        <v>58572</v>
      </c>
      <c r="K201" s="68">
        <f t="shared" si="3"/>
        <v>1757.1599999999999</v>
      </c>
    </row>
    <row r="202" spans="9:14" ht="15.5" x14ac:dyDescent="0.35">
      <c r="I202" s="66" t="s">
        <v>178</v>
      </c>
      <c r="J202" s="67">
        <v>60254</v>
      </c>
      <c r="K202" s="68">
        <f t="shared" si="3"/>
        <v>1807.62</v>
      </c>
    </row>
    <row r="203" spans="9:14" ht="15.5" x14ac:dyDescent="0.35">
      <c r="I203" s="66" t="s">
        <v>259</v>
      </c>
      <c r="J203" s="67">
        <v>52163</v>
      </c>
      <c r="K203" s="68">
        <f t="shared" si="3"/>
        <v>1564.8899999999999</v>
      </c>
    </row>
    <row r="204" spans="9:14" ht="15.5" x14ac:dyDescent="0.35">
      <c r="I204" s="66" t="s">
        <v>260</v>
      </c>
      <c r="J204" s="67">
        <v>54914</v>
      </c>
      <c r="K204" s="68">
        <f t="shared" si="3"/>
        <v>1647.4199999999998</v>
      </c>
    </row>
    <row r="205" spans="9:14" ht="15.5" x14ac:dyDescent="0.35">
      <c r="I205" s="66" t="s">
        <v>261</v>
      </c>
      <c r="J205" s="67">
        <v>67539</v>
      </c>
      <c r="K205" s="68">
        <f t="shared" si="3"/>
        <v>2026.1699999999998</v>
      </c>
    </row>
    <row r="206" spans="9:14" ht="15.5" x14ac:dyDescent="0.35">
      <c r="I206" s="66" t="s">
        <v>262</v>
      </c>
      <c r="J206" s="67">
        <v>61871</v>
      </c>
      <c r="K206" s="68">
        <f t="shared" si="3"/>
        <v>1856.1299999999999</v>
      </c>
    </row>
    <row r="207" spans="9:14" ht="15.5" x14ac:dyDescent="0.35">
      <c r="I207" s="66" t="s">
        <v>263</v>
      </c>
      <c r="J207" s="67">
        <v>65895</v>
      </c>
      <c r="K207" s="68">
        <f t="shared" si="3"/>
        <v>1976.85</v>
      </c>
    </row>
    <row r="208" spans="9:14" ht="15.5" x14ac:dyDescent="0.35">
      <c r="I208" s="66" t="s">
        <v>264</v>
      </c>
      <c r="J208" s="67">
        <v>65596</v>
      </c>
      <c r="K208" s="68">
        <f t="shared" si="3"/>
        <v>1967.8799999999999</v>
      </c>
    </row>
    <row r="209" spans="9:11" ht="15.5" x14ac:dyDescent="0.35">
      <c r="I209" s="66" t="s">
        <v>265</v>
      </c>
      <c r="J209" s="67">
        <v>56880</v>
      </c>
      <c r="K209" s="68">
        <f t="shared" si="3"/>
        <v>1706.3999999999999</v>
      </c>
    </row>
    <row r="210" spans="9:11" ht="15.5" x14ac:dyDescent="0.35">
      <c r="I210" s="66"/>
      <c r="J210" s="66"/>
      <c r="K210" s="66"/>
    </row>
    <row r="211" spans="9:11" ht="15.5" x14ac:dyDescent="0.35">
      <c r="I211" s="66"/>
      <c r="J211" s="66"/>
      <c r="K211" s="66"/>
    </row>
    <row r="212" spans="9:11" ht="16" x14ac:dyDescent="0.4">
      <c r="I212" s="63" t="s">
        <v>254</v>
      </c>
      <c r="J212" s="63"/>
      <c r="K212" s="63"/>
    </row>
    <row r="213" spans="9:11" ht="16" x14ac:dyDescent="0.4">
      <c r="I213" s="64"/>
      <c r="J213" s="64"/>
      <c r="K213" s="64"/>
    </row>
    <row r="214" spans="9:11" ht="15.5" x14ac:dyDescent="0.35">
      <c r="I214" s="65" t="s">
        <v>252</v>
      </c>
      <c r="J214" s="66"/>
      <c r="K214" s="69">
        <v>0.03</v>
      </c>
    </row>
    <row r="215" spans="9:11" ht="15.5" x14ac:dyDescent="0.35">
      <c r="I215" s="66"/>
      <c r="J215" s="66"/>
      <c r="K215" s="66"/>
    </row>
    <row r="216" spans="9:11" ht="15.5" x14ac:dyDescent="0.35">
      <c r="I216" s="65" t="s">
        <v>250</v>
      </c>
      <c r="J216" s="65" t="s">
        <v>251</v>
      </c>
      <c r="K216" s="65" t="s">
        <v>252</v>
      </c>
    </row>
    <row r="217" spans="9:11" ht="15.5" x14ac:dyDescent="0.35">
      <c r="I217" s="66" t="s">
        <v>253</v>
      </c>
      <c r="J217" s="67">
        <v>68670</v>
      </c>
      <c r="K217" s="68">
        <f>J217*$K$214</f>
        <v>2060.1</v>
      </c>
    </row>
    <row r="218" spans="9:11" ht="15.5" x14ac:dyDescent="0.35">
      <c r="I218" s="66" t="s">
        <v>255</v>
      </c>
      <c r="J218" s="67">
        <v>67443</v>
      </c>
      <c r="K218" s="68">
        <f t="shared" ref="K218:K228" si="4">J218*$K$214</f>
        <v>2023.29</v>
      </c>
    </row>
    <row r="219" spans="9:11" ht="15.5" x14ac:dyDescent="0.35">
      <c r="I219" s="66" t="s">
        <v>257</v>
      </c>
      <c r="J219" s="67">
        <v>62088</v>
      </c>
      <c r="K219" s="68">
        <f t="shared" si="4"/>
        <v>1862.6399999999999</v>
      </c>
    </row>
    <row r="220" spans="9:11" ht="15.5" x14ac:dyDescent="0.35">
      <c r="I220" s="66" t="s">
        <v>258</v>
      </c>
      <c r="J220" s="67">
        <v>58572</v>
      </c>
      <c r="K220" s="68">
        <f t="shared" si="4"/>
        <v>1757.1599999999999</v>
      </c>
    </row>
    <row r="221" spans="9:11" ht="15.5" x14ac:dyDescent="0.35">
      <c r="I221" s="66" t="s">
        <v>178</v>
      </c>
      <c r="J221" s="67">
        <v>60254</v>
      </c>
      <c r="K221" s="68">
        <f t="shared" si="4"/>
        <v>1807.62</v>
      </c>
    </row>
    <row r="222" spans="9:11" ht="15.5" x14ac:dyDescent="0.35">
      <c r="I222" s="66" t="s">
        <v>259</v>
      </c>
      <c r="J222" s="67">
        <v>52163</v>
      </c>
      <c r="K222" s="68">
        <f t="shared" si="4"/>
        <v>1564.8899999999999</v>
      </c>
    </row>
    <row r="223" spans="9:11" ht="15.5" x14ac:dyDescent="0.35">
      <c r="I223" s="66" t="s">
        <v>260</v>
      </c>
      <c r="J223" s="67">
        <v>54914</v>
      </c>
      <c r="K223" s="68">
        <f t="shared" si="4"/>
        <v>1647.4199999999998</v>
      </c>
    </row>
    <row r="224" spans="9:11" ht="15.5" x14ac:dyDescent="0.35">
      <c r="I224" s="66" t="s">
        <v>261</v>
      </c>
      <c r="J224" s="67">
        <v>67539</v>
      </c>
      <c r="K224" s="68">
        <f t="shared" si="4"/>
        <v>2026.1699999999998</v>
      </c>
    </row>
    <row r="225" spans="9:15" ht="15.5" x14ac:dyDescent="0.35">
      <c r="I225" s="66" t="s">
        <v>262</v>
      </c>
      <c r="J225" s="67">
        <v>61871</v>
      </c>
      <c r="K225" s="68">
        <f t="shared" si="4"/>
        <v>1856.1299999999999</v>
      </c>
    </row>
    <row r="226" spans="9:15" ht="15.5" x14ac:dyDescent="0.35">
      <c r="I226" s="66" t="s">
        <v>263</v>
      </c>
      <c r="J226" s="67">
        <v>65895</v>
      </c>
      <c r="K226" s="68">
        <f t="shared" si="4"/>
        <v>1976.85</v>
      </c>
    </row>
    <row r="227" spans="9:15" ht="15.5" x14ac:dyDescent="0.35">
      <c r="I227" s="66" t="s">
        <v>264</v>
      </c>
      <c r="J227" s="67">
        <v>65596</v>
      </c>
      <c r="K227" s="68">
        <f t="shared" si="4"/>
        <v>1967.8799999999999</v>
      </c>
    </row>
    <row r="228" spans="9:15" ht="15.5" x14ac:dyDescent="0.35">
      <c r="I228" s="66" t="s">
        <v>265</v>
      </c>
      <c r="J228" s="67">
        <v>56880</v>
      </c>
      <c r="K228" s="68">
        <f t="shared" si="4"/>
        <v>1706.3999999999999</v>
      </c>
    </row>
    <row r="229" spans="9:15" ht="16" x14ac:dyDescent="0.4">
      <c r="I229" s="64"/>
      <c r="J229" s="64"/>
      <c r="K229" s="64"/>
    </row>
    <row r="230" spans="9:15" ht="16" x14ac:dyDescent="0.4">
      <c r="I230" s="64"/>
      <c r="J230" s="64"/>
      <c r="K230" s="64"/>
    </row>
    <row r="231" spans="9:15" ht="16" x14ac:dyDescent="0.4">
      <c r="I231" s="63" t="s">
        <v>256</v>
      </c>
      <c r="J231" s="63"/>
      <c r="K231" s="63"/>
    </row>
    <row r="232" spans="9:15" ht="15.5" x14ac:dyDescent="0.35">
      <c r="I232" s="66"/>
      <c r="J232" s="66"/>
      <c r="K232" s="66"/>
    </row>
    <row r="233" spans="9:15" ht="15.5" x14ac:dyDescent="0.35">
      <c r="I233" s="65" t="s">
        <v>250</v>
      </c>
      <c r="J233" s="65" t="s">
        <v>251</v>
      </c>
      <c r="K233" s="70">
        <v>0.03</v>
      </c>
      <c r="L233" s="71">
        <v>0.04</v>
      </c>
      <c r="M233" s="71">
        <v>0.05</v>
      </c>
      <c r="N233" s="71">
        <v>7.0000000000000007E-2</v>
      </c>
      <c r="O233" s="71">
        <v>0.1</v>
      </c>
    </row>
    <row r="234" spans="9:15" ht="15.5" x14ac:dyDescent="0.35">
      <c r="I234" s="66" t="s">
        <v>253</v>
      </c>
      <c r="J234" s="67">
        <v>68670</v>
      </c>
      <c r="K234" s="72">
        <f>J234*K233</f>
        <v>2060.1</v>
      </c>
      <c r="L234" s="68">
        <f>$C234*L233</f>
        <v>0</v>
      </c>
      <c r="M234" s="68">
        <f>$C234*M233</f>
        <v>0</v>
      </c>
      <c r="N234" s="68">
        <f>$C234*N233</f>
        <v>0</v>
      </c>
      <c r="O234" s="68">
        <f>$C234*O233</f>
        <v>0</v>
      </c>
    </row>
    <row r="235" spans="9:15" ht="15.5" x14ac:dyDescent="0.35">
      <c r="I235" s="66" t="s">
        <v>255</v>
      </c>
      <c r="J235" s="67">
        <v>67443</v>
      </c>
      <c r="K235" s="72">
        <f t="shared" ref="K235:K245" si="5">J235*K234</f>
        <v>138939324.29999998</v>
      </c>
      <c r="L235" s="68">
        <f t="shared" ref="L235:L245" si="6">$C235*L234</f>
        <v>0</v>
      </c>
      <c r="M235" s="68">
        <f t="shared" ref="K235:O245" si="7">$C235*M$39</f>
        <v>0</v>
      </c>
      <c r="N235" s="68" t="e">
        <f t="shared" si="7"/>
        <v>#VALUE!</v>
      </c>
      <c r="O235" s="68">
        <f t="shared" si="7"/>
        <v>0</v>
      </c>
    </row>
    <row r="236" spans="9:15" ht="15.5" x14ac:dyDescent="0.35">
      <c r="I236" s="66" t="s">
        <v>257</v>
      </c>
      <c r="J236" s="67">
        <v>62088</v>
      </c>
      <c r="K236" s="72">
        <f t="shared" si="5"/>
        <v>8626464767138.3984</v>
      </c>
      <c r="L236" s="68">
        <f t="shared" si="6"/>
        <v>0</v>
      </c>
      <c r="M236" s="68">
        <f t="shared" si="7"/>
        <v>0</v>
      </c>
      <c r="N236" s="68" t="e">
        <f t="shared" si="7"/>
        <v>#VALUE!</v>
      </c>
      <c r="O236" s="68">
        <f t="shared" si="7"/>
        <v>0</v>
      </c>
    </row>
    <row r="237" spans="9:15" ht="15.5" x14ac:dyDescent="0.35">
      <c r="I237" s="66" t="s">
        <v>258</v>
      </c>
      <c r="J237" s="67">
        <v>58572</v>
      </c>
      <c r="K237" s="72">
        <f t="shared" si="5"/>
        <v>5.0526929434083027E+17</v>
      </c>
      <c r="L237" s="68">
        <f t="shared" si="6"/>
        <v>0</v>
      </c>
      <c r="M237" s="68">
        <f t="shared" si="7"/>
        <v>0</v>
      </c>
      <c r="N237" s="68" t="e">
        <f t="shared" si="7"/>
        <v>#VALUE!</v>
      </c>
      <c r="O237" s="68">
        <f t="shared" si="7"/>
        <v>0</v>
      </c>
    </row>
    <row r="238" spans="9:15" ht="15.5" x14ac:dyDescent="0.35">
      <c r="I238" s="66" t="s">
        <v>178</v>
      </c>
      <c r="J238" s="67">
        <v>60254</v>
      </c>
      <c r="K238" s="72">
        <f t="shared" si="5"/>
        <v>3.0444496061212389E+22</v>
      </c>
      <c r="L238" s="68">
        <f t="shared" si="6"/>
        <v>0</v>
      </c>
      <c r="M238" s="68">
        <f t="shared" si="7"/>
        <v>0</v>
      </c>
      <c r="N238" s="68" t="e">
        <f t="shared" si="7"/>
        <v>#VALUE!</v>
      </c>
      <c r="O238" s="68">
        <f t="shared" si="7"/>
        <v>0</v>
      </c>
    </row>
    <row r="239" spans="9:15" ht="15.5" x14ac:dyDescent="0.35">
      <c r="I239" s="66" t="s">
        <v>259</v>
      </c>
      <c r="J239" s="67">
        <v>52163</v>
      </c>
      <c r="K239" s="72">
        <f t="shared" si="5"/>
        <v>1.5880762480410219E+27</v>
      </c>
      <c r="L239" s="68">
        <f t="shared" si="6"/>
        <v>0</v>
      </c>
      <c r="M239" s="68">
        <f t="shared" si="7"/>
        <v>0</v>
      </c>
      <c r="N239" s="68" t="e">
        <f t="shared" si="7"/>
        <v>#VALUE!</v>
      </c>
      <c r="O239" s="68">
        <f t="shared" si="7"/>
        <v>0</v>
      </c>
    </row>
    <row r="240" spans="9:15" ht="15.5" x14ac:dyDescent="0.35">
      <c r="I240" s="66" t="s">
        <v>260</v>
      </c>
      <c r="J240" s="67">
        <v>54914</v>
      </c>
      <c r="K240" s="72">
        <f t="shared" si="5"/>
        <v>8.7207619084924676E+31</v>
      </c>
      <c r="L240" s="68">
        <f t="shared" si="6"/>
        <v>0</v>
      </c>
      <c r="M240" s="68">
        <f t="shared" si="7"/>
        <v>0</v>
      </c>
      <c r="N240" s="68" t="e">
        <f t="shared" si="7"/>
        <v>#VALUE!</v>
      </c>
      <c r="O240" s="68">
        <f t="shared" si="7"/>
        <v>0</v>
      </c>
    </row>
    <row r="241" spans="9:15" ht="15.5" x14ac:dyDescent="0.35">
      <c r="I241" s="66" t="s">
        <v>261</v>
      </c>
      <c r="J241" s="67">
        <v>67539</v>
      </c>
      <c r="K241" s="72">
        <f t="shared" si="5"/>
        <v>5.8899153853767279E+36</v>
      </c>
      <c r="L241" s="68">
        <f t="shared" si="6"/>
        <v>0</v>
      </c>
      <c r="M241" s="68">
        <f t="shared" si="7"/>
        <v>0</v>
      </c>
      <c r="N241" s="68" t="e">
        <f t="shared" si="7"/>
        <v>#VALUE!</v>
      </c>
      <c r="O241" s="68">
        <f t="shared" si="7"/>
        <v>0</v>
      </c>
    </row>
    <row r="242" spans="9:15" ht="15.5" x14ac:dyDescent="0.35">
      <c r="I242" s="66" t="s">
        <v>262</v>
      </c>
      <c r="J242" s="67">
        <v>61871</v>
      </c>
      <c r="K242" s="72">
        <f t="shared" si="5"/>
        <v>3.6441495480864354E+41</v>
      </c>
      <c r="L242" s="68">
        <f t="shared" si="6"/>
        <v>0</v>
      </c>
      <c r="M242" s="68">
        <f t="shared" si="7"/>
        <v>0</v>
      </c>
      <c r="N242" s="68" t="e">
        <f t="shared" si="7"/>
        <v>#VALUE!</v>
      </c>
      <c r="O242" s="68">
        <f t="shared" si="7"/>
        <v>0</v>
      </c>
    </row>
    <row r="243" spans="9:15" ht="15.5" x14ac:dyDescent="0.35">
      <c r="I243" s="66" t="s">
        <v>263</v>
      </c>
      <c r="J243" s="67">
        <v>65895</v>
      </c>
      <c r="K243" s="72">
        <f t="shared" si="5"/>
        <v>2.4013123447115565E+46</v>
      </c>
      <c r="L243" s="68">
        <f t="shared" si="6"/>
        <v>0</v>
      </c>
      <c r="M243" s="68">
        <f t="shared" si="7"/>
        <v>0</v>
      </c>
      <c r="N243" s="68" t="e">
        <f t="shared" si="7"/>
        <v>#VALUE!</v>
      </c>
      <c r="O243" s="68">
        <f t="shared" si="7"/>
        <v>0</v>
      </c>
    </row>
    <row r="244" spans="9:15" ht="15.5" x14ac:dyDescent="0.35">
      <c r="I244" s="66" t="s">
        <v>264</v>
      </c>
      <c r="J244" s="67">
        <v>65596</v>
      </c>
      <c r="K244" s="72">
        <f t="shared" si="5"/>
        <v>1.5751648456369926E+51</v>
      </c>
      <c r="L244" s="68">
        <f t="shared" si="6"/>
        <v>0</v>
      </c>
      <c r="M244" s="68">
        <f t="shared" si="7"/>
        <v>0</v>
      </c>
      <c r="N244" s="68" t="e">
        <f t="shared" si="7"/>
        <v>#VALUE!</v>
      </c>
      <c r="O244" s="68">
        <f t="shared" si="7"/>
        <v>0</v>
      </c>
    </row>
    <row r="245" spans="9:15" ht="15.5" x14ac:dyDescent="0.35">
      <c r="I245" s="66" t="s">
        <v>265</v>
      </c>
      <c r="J245" s="67">
        <v>56880</v>
      </c>
      <c r="K245" s="72">
        <f t="shared" si="5"/>
        <v>8.9595376419832141E+55</v>
      </c>
      <c r="L245" s="68">
        <f t="shared" si="6"/>
        <v>0</v>
      </c>
      <c r="M245" s="68">
        <f t="shared" si="7"/>
        <v>0</v>
      </c>
      <c r="N245" s="68" t="e">
        <f t="shared" si="7"/>
        <v>#VALUE!</v>
      </c>
      <c r="O245" s="68">
        <f t="shared" si="7"/>
        <v>0</v>
      </c>
    </row>
    <row r="246" spans="9:15" ht="16" x14ac:dyDescent="0.4">
      <c r="I246" s="64"/>
      <c r="J246" s="64"/>
      <c r="K246" s="64"/>
    </row>
    <row r="259" spans="1:8" x14ac:dyDescent="0.35">
      <c r="A259" s="73" t="s">
        <v>15</v>
      </c>
      <c r="B259" s="73" t="s">
        <v>266</v>
      </c>
      <c r="C259" s="74" t="s">
        <v>267</v>
      </c>
      <c r="D259" s="74" t="s">
        <v>268</v>
      </c>
      <c r="E259" s="74" t="s">
        <v>269</v>
      </c>
      <c r="H259" s="11" t="s">
        <v>53</v>
      </c>
    </row>
    <row r="260" spans="1:8" x14ac:dyDescent="0.35">
      <c r="A260" s="75" t="s">
        <v>270</v>
      </c>
      <c r="B260" s="75" t="s">
        <v>271</v>
      </c>
      <c r="C260" s="76" t="s">
        <v>272</v>
      </c>
      <c r="D260" s="77">
        <v>39091</v>
      </c>
      <c r="E260" s="78">
        <v>344.3938</v>
      </c>
      <c r="H260" t="s">
        <v>591</v>
      </c>
    </row>
    <row r="261" spans="1:8" x14ac:dyDescent="0.35">
      <c r="A261" s="75" t="s">
        <v>274</v>
      </c>
      <c r="B261" s="75" t="s">
        <v>275</v>
      </c>
      <c r="C261" s="76" t="s">
        <v>272</v>
      </c>
      <c r="D261" s="77">
        <v>39108</v>
      </c>
      <c r="E261" s="78">
        <v>301.11840000000001</v>
      </c>
      <c r="H261" t="s">
        <v>592</v>
      </c>
    </row>
    <row r="262" spans="1:8" x14ac:dyDescent="0.35">
      <c r="A262" s="75" t="s">
        <v>276</v>
      </c>
      <c r="B262" s="75" t="s">
        <v>277</v>
      </c>
      <c r="C262" s="76" t="s">
        <v>272</v>
      </c>
      <c r="D262" s="77">
        <v>39146</v>
      </c>
      <c r="E262" s="78">
        <v>598.88649999999996</v>
      </c>
    </row>
    <row r="263" spans="1:8" x14ac:dyDescent="0.35">
      <c r="A263" s="75" t="s">
        <v>276</v>
      </c>
      <c r="B263" s="75" t="s">
        <v>278</v>
      </c>
      <c r="C263" s="76" t="s">
        <v>272</v>
      </c>
      <c r="D263" s="77">
        <v>39172</v>
      </c>
      <c r="E263" s="78">
        <v>424.62889999999999</v>
      </c>
      <c r="G263" s="16" t="s">
        <v>83</v>
      </c>
      <c r="H263" s="80">
        <f>SUM(E260:E711)</f>
        <v>15151.150199999998</v>
      </c>
    </row>
    <row r="264" spans="1:8" x14ac:dyDescent="0.35">
      <c r="A264" s="75" t="s">
        <v>276</v>
      </c>
      <c r="B264" s="75" t="s">
        <v>279</v>
      </c>
      <c r="C264" s="76" t="s">
        <v>272</v>
      </c>
      <c r="D264" s="77">
        <v>39175</v>
      </c>
      <c r="E264" s="78">
        <v>424.62889999999999</v>
      </c>
      <c r="G264" s="16" t="s">
        <v>90</v>
      </c>
      <c r="H264" s="80">
        <f>AVERAGE(E260:E711)</f>
        <v>309.20714693877545</v>
      </c>
    </row>
    <row r="265" spans="1:8" x14ac:dyDescent="0.35">
      <c r="A265" s="75" t="s">
        <v>276</v>
      </c>
      <c r="B265" s="75" t="s">
        <v>280</v>
      </c>
      <c r="C265" s="76" t="s">
        <v>272</v>
      </c>
      <c r="D265" s="77">
        <v>39181</v>
      </c>
      <c r="E265" s="78">
        <v>604.47080000000005</v>
      </c>
    </row>
    <row r="266" spans="1:8" x14ac:dyDescent="0.35">
      <c r="A266" s="75" t="s">
        <v>270</v>
      </c>
      <c r="B266" s="75" t="s">
        <v>281</v>
      </c>
      <c r="C266" s="76" t="s">
        <v>272</v>
      </c>
      <c r="D266" s="77">
        <v>39192</v>
      </c>
      <c r="E266" s="78">
        <v>351.30329999999998</v>
      </c>
    </row>
    <row r="267" spans="1:8" x14ac:dyDescent="0.35">
      <c r="A267" s="75" t="s">
        <v>274</v>
      </c>
      <c r="B267" s="75" t="s">
        <v>282</v>
      </c>
      <c r="C267" s="76" t="s">
        <v>272</v>
      </c>
      <c r="D267" s="77">
        <v>39201</v>
      </c>
      <c r="E267" s="78">
        <v>388.93259999999998</v>
      </c>
    </row>
    <row r="268" spans="1:8" x14ac:dyDescent="0.35">
      <c r="A268" s="75" t="s">
        <v>283</v>
      </c>
      <c r="B268" s="75" t="s">
        <v>284</v>
      </c>
      <c r="C268" s="76" t="s">
        <v>272</v>
      </c>
      <c r="D268" s="77">
        <v>39206</v>
      </c>
      <c r="E268" s="78">
        <v>482.15460000000002</v>
      </c>
    </row>
    <row r="269" spans="1:8" x14ac:dyDescent="0.35">
      <c r="A269" s="75" t="s">
        <v>270</v>
      </c>
      <c r="B269" s="75" t="s">
        <v>271</v>
      </c>
      <c r="C269" s="76" t="s">
        <v>272</v>
      </c>
      <c r="D269" s="77">
        <v>39210</v>
      </c>
      <c r="E269" s="78">
        <v>344.3938</v>
      </c>
    </row>
    <row r="270" spans="1:8" x14ac:dyDescent="0.35">
      <c r="A270" s="75" t="s">
        <v>276</v>
      </c>
      <c r="B270" s="75" t="s">
        <v>285</v>
      </c>
      <c r="C270" s="76" t="s">
        <v>272</v>
      </c>
      <c r="D270" s="77">
        <v>39221</v>
      </c>
      <c r="E270" s="78">
        <v>484.20249999999999</v>
      </c>
    </row>
    <row r="271" spans="1:8" x14ac:dyDescent="0.35">
      <c r="A271" s="75" t="s">
        <v>283</v>
      </c>
      <c r="B271" s="75" t="s">
        <v>286</v>
      </c>
      <c r="C271" s="76" t="s">
        <v>272</v>
      </c>
      <c r="D271" s="77">
        <v>39221</v>
      </c>
      <c r="E271" s="78">
        <v>474.30430000000001</v>
      </c>
    </row>
    <row r="272" spans="1:8" x14ac:dyDescent="0.35">
      <c r="A272" s="75" t="s">
        <v>283</v>
      </c>
      <c r="B272" s="75" t="s">
        <v>287</v>
      </c>
      <c r="C272" s="76" t="s">
        <v>272</v>
      </c>
      <c r="D272" s="77">
        <v>39224</v>
      </c>
      <c r="E272" s="78">
        <v>566.70860000000005</v>
      </c>
    </row>
    <row r="273" spans="1:5" x14ac:dyDescent="0.35">
      <c r="A273" s="75" t="s">
        <v>274</v>
      </c>
      <c r="B273" s="75" t="s">
        <v>288</v>
      </c>
      <c r="C273" s="76" t="s">
        <v>272</v>
      </c>
      <c r="D273" s="77">
        <v>39236</v>
      </c>
      <c r="E273" s="78">
        <v>388.93259999999998</v>
      </c>
    </row>
    <row r="274" spans="1:5" x14ac:dyDescent="0.35">
      <c r="A274" s="75" t="s">
        <v>276</v>
      </c>
      <c r="B274" s="75" t="s">
        <v>289</v>
      </c>
      <c r="C274" s="76" t="s">
        <v>272</v>
      </c>
      <c r="D274" s="77">
        <v>39244</v>
      </c>
      <c r="E274" s="78">
        <v>401.57470000000001</v>
      </c>
    </row>
    <row r="275" spans="1:5" x14ac:dyDescent="0.35">
      <c r="A275" s="75" t="s">
        <v>274</v>
      </c>
      <c r="B275" s="75" t="s">
        <v>290</v>
      </c>
      <c r="C275" s="76" t="s">
        <v>272</v>
      </c>
      <c r="D275" s="77">
        <v>39252</v>
      </c>
      <c r="E275" s="78">
        <v>528.53489999999999</v>
      </c>
    </row>
    <row r="276" spans="1:5" x14ac:dyDescent="0.35">
      <c r="A276" s="75" t="s">
        <v>274</v>
      </c>
      <c r="B276" s="75" t="s">
        <v>291</v>
      </c>
      <c r="C276" s="76" t="s">
        <v>272</v>
      </c>
      <c r="D276" s="77">
        <v>39256</v>
      </c>
      <c r="E276" s="78">
        <v>388.93259999999998</v>
      </c>
    </row>
    <row r="277" spans="1:5" x14ac:dyDescent="0.35">
      <c r="A277" s="75" t="s">
        <v>274</v>
      </c>
      <c r="B277" s="75" t="s">
        <v>292</v>
      </c>
      <c r="C277" s="76" t="s">
        <v>272</v>
      </c>
      <c r="D277" s="77">
        <v>39264</v>
      </c>
      <c r="E277" s="78">
        <v>416.76530000000002</v>
      </c>
    </row>
    <row r="278" spans="1:5" x14ac:dyDescent="0.35">
      <c r="A278" s="75" t="s">
        <v>270</v>
      </c>
      <c r="B278" s="75" t="s">
        <v>293</v>
      </c>
      <c r="C278" s="76" t="s">
        <v>272</v>
      </c>
      <c r="D278" s="77">
        <v>39265</v>
      </c>
      <c r="E278" s="78">
        <v>344.3938</v>
      </c>
    </row>
    <row r="279" spans="1:5" x14ac:dyDescent="0.35">
      <c r="A279" s="75" t="s">
        <v>274</v>
      </c>
      <c r="B279" s="75" t="s">
        <v>294</v>
      </c>
      <c r="C279" s="76" t="s">
        <v>272</v>
      </c>
      <c r="D279" s="77">
        <v>39278</v>
      </c>
      <c r="E279" s="78">
        <v>388.93259999999998</v>
      </c>
    </row>
    <row r="280" spans="1:5" x14ac:dyDescent="0.35">
      <c r="A280" s="75" t="s">
        <v>274</v>
      </c>
      <c r="B280" s="75" t="s">
        <v>295</v>
      </c>
      <c r="C280" s="76" t="s">
        <v>272</v>
      </c>
      <c r="D280" s="77">
        <v>39284</v>
      </c>
      <c r="E280" s="78">
        <v>388.93259999999998</v>
      </c>
    </row>
    <row r="281" spans="1:5" x14ac:dyDescent="0.35">
      <c r="A281" s="75" t="s">
        <v>274</v>
      </c>
      <c r="B281" s="75" t="s">
        <v>296</v>
      </c>
      <c r="C281" s="76" t="s">
        <v>272</v>
      </c>
      <c r="D281" s="77">
        <v>39305</v>
      </c>
      <c r="E281" s="78">
        <v>528.53489999999999</v>
      </c>
    </row>
    <row r="282" spans="1:5" x14ac:dyDescent="0.35">
      <c r="A282" s="75" t="s">
        <v>274</v>
      </c>
      <c r="B282" s="75" t="s">
        <v>297</v>
      </c>
      <c r="C282" s="76" t="s">
        <v>272</v>
      </c>
      <c r="D282" s="77">
        <v>39307</v>
      </c>
      <c r="E282" s="78">
        <v>445.23489999999998</v>
      </c>
    </row>
    <row r="283" spans="1:5" x14ac:dyDescent="0.35">
      <c r="A283" s="75" t="s">
        <v>274</v>
      </c>
      <c r="B283" s="75" t="s">
        <v>288</v>
      </c>
      <c r="C283" s="76" t="s">
        <v>272</v>
      </c>
      <c r="D283" s="77">
        <v>39334</v>
      </c>
      <c r="E283" s="78">
        <v>388.93259999999998</v>
      </c>
    </row>
    <row r="284" spans="1:5" x14ac:dyDescent="0.35">
      <c r="A284" s="75" t="s">
        <v>283</v>
      </c>
      <c r="B284" s="75" t="s">
        <v>298</v>
      </c>
      <c r="C284" s="76" t="s">
        <v>272</v>
      </c>
      <c r="D284" s="77">
        <v>39336</v>
      </c>
      <c r="E284" s="78">
        <v>630.7242</v>
      </c>
    </row>
    <row r="285" spans="1:5" x14ac:dyDescent="0.35">
      <c r="A285" s="75" t="s">
        <v>276</v>
      </c>
      <c r="B285" s="75" t="s">
        <v>299</v>
      </c>
      <c r="C285" s="76" t="s">
        <v>272</v>
      </c>
      <c r="D285" s="77">
        <v>39391</v>
      </c>
      <c r="E285" s="78">
        <v>484.20249999999999</v>
      </c>
    </row>
    <row r="286" spans="1:5" x14ac:dyDescent="0.35">
      <c r="A286" s="75" t="s">
        <v>276</v>
      </c>
      <c r="B286" s="75" t="s">
        <v>299</v>
      </c>
      <c r="C286" s="76" t="s">
        <v>272</v>
      </c>
      <c r="D286" s="77">
        <v>39391</v>
      </c>
      <c r="E286" s="78">
        <v>484.20249999999999</v>
      </c>
    </row>
    <row r="287" spans="1:5" x14ac:dyDescent="0.35">
      <c r="A287" s="75" t="s">
        <v>270</v>
      </c>
      <c r="B287" s="75" t="s">
        <v>300</v>
      </c>
      <c r="C287" s="76" t="s">
        <v>272</v>
      </c>
      <c r="D287" s="77">
        <v>39403</v>
      </c>
      <c r="E287" s="78">
        <v>361.43680000000001</v>
      </c>
    </row>
    <row r="288" spans="1:5" x14ac:dyDescent="0.35">
      <c r="A288" s="75" t="s">
        <v>274</v>
      </c>
      <c r="B288" s="75" t="s">
        <v>301</v>
      </c>
      <c r="C288" s="76" t="s">
        <v>272</v>
      </c>
      <c r="D288" s="77">
        <v>39433</v>
      </c>
      <c r="E288" s="78">
        <v>445.23489999999998</v>
      </c>
    </row>
    <row r="289" spans="1:5" x14ac:dyDescent="0.35">
      <c r="A289" s="75" t="s">
        <v>276</v>
      </c>
      <c r="B289" s="75" t="s">
        <v>302</v>
      </c>
      <c r="C289" s="76" t="s">
        <v>303</v>
      </c>
      <c r="D289" s="77">
        <v>39091</v>
      </c>
      <c r="E289" s="78">
        <v>100.6961</v>
      </c>
    </row>
    <row r="290" spans="1:5" x14ac:dyDescent="0.35">
      <c r="A290" s="75" t="s">
        <v>283</v>
      </c>
      <c r="B290" s="75" t="s">
        <v>304</v>
      </c>
      <c r="C290" s="76" t="s">
        <v>303</v>
      </c>
      <c r="D290" s="77">
        <v>39096</v>
      </c>
      <c r="E290" s="78">
        <v>114.4649</v>
      </c>
    </row>
    <row r="291" spans="1:5" x14ac:dyDescent="0.35">
      <c r="A291" s="75" t="s">
        <v>283</v>
      </c>
      <c r="B291" s="75" t="s">
        <v>305</v>
      </c>
      <c r="C291" s="76" t="s">
        <v>303</v>
      </c>
      <c r="D291" s="77">
        <v>39098</v>
      </c>
      <c r="E291" s="78">
        <v>124.3728</v>
      </c>
    </row>
    <row r="292" spans="1:5" x14ac:dyDescent="0.35">
      <c r="A292" s="75" t="s">
        <v>276</v>
      </c>
      <c r="B292" s="75" t="s">
        <v>306</v>
      </c>
      <c r="C292" s="76" t="s">
        <v>303</v>
      </c>
      <c r="D292" s="77">
        <v>39101</v>
      </c>
      <c r="E292" s="78">
        <v>107.9136</v>
      </c>
    </row>
    <row r="293" spans="1:5" x14ac:dyDescent="0.35">
      <c r="A293" s="75" t="s">
        <v>276</v>
      </c>
      <c r="B293" s="75" t="s">
        <v>307</v>
      </c>
      <c r="C293" s="76" t="s">
        <v>303</v>
      </c>
      <c r="D293" s="77">
        <v>39116</v>
      </c>
      <c r="E293" s="78">
        <v>112.3938</v>
      </c>
    </row>
    <row r="294" spans="1:5" x14ac:dyDescent="0.35">
      <c r="A294" s="75" t="s">
        <v>270</v>
      </c>
      <c r="B294" s="75" t="s">
        <v>308</v>
      </c>
      <c r="C294" s="76" t="s">
        <v>303</v>
      </c>
      <c r="D294" s="77">
        <v>39117</v>
      </c>
      <c r="E294" s="78">
        <v>112.0056</v>
      </c>
    </row>
    <row r="295" spans="1:5" x14ac:dyDescent="0.35">
      <c r="A295" s="75" t="s">
        <v>276</v>
      </c>
      <c r="B295" s="75" t="s">
        <v>309</v>
      </c>
      <c r="C295" s="76" t="s">
        <v>303</v>
      </c>
      <c r="D295" s="77">
        <v>39117</v>
      </c>
      <c r="E295" s="78">
        <v>128.88990000000001</v>
      </c>
    </row>
    <row r="296" spans="1:5" x14ac:dyDescent="0.35">
      <c r="A296" s="75" t="s">
        <v>276</v>
      </c>
      <c r="B296" s="75" t="s">
        <v>310</v>
      </c>
      <c r="C296" s="76" t="s">
        <v>303</v>
      </c>
      <c r="D296" s="77">
        <v>39117</v>
      </c>
      <c r="E296" s="78">
        <v>111.11790000000001</v>
      </c>
    </row>
    <row r="297" spans="1:5" x14ac:dyDescent="0.35">
      <c r="A297" s="75" t="s">
        <v>276</v>
      </c>
      <c r="B297" s="75" t="s">
        <v>311</v>
      </c>
      <c r="C297" s="76" t="s">
        <v>303</v>
      </c>
      <c r="D297" s="77">
        <v>39119</v>
      </c>
      <c r="E297" s="78">
        <v>100.6961</v>
      </c>
    </row>
    <row r="298" spans="1:5" x14ac:dyDescent="0.35">
      <c r="A298" s="75" t="s">
        <v>283</v>
      </c>
      <c r="B298" s="75" t="s">
        <v>312</v>
      </c>
      <c r="C298" s="76" t="s">
        <v>303</v>
      </c>
      <c r="D298" s="77">
        <v>39122</v>
      </c>
      <c r="E298" s="78">
        <v>125.2332</v>
      </c>
    </row>
    <row r="299" spans="1:5" x14ac:dyDescent="0.35">
      <c r="A299" s="75" t="s">
        <v>276</v>
      </c>
      <c r="B299" s="75" t="s">
        <v>313</v>
      </c>
      <c r="C299" s="76" t="s">
        <v>303</v>
      </c>
      <c r="D299" s="77">
        <v>39123</v>
      </c>
      <c r="E299" s="78">
        <v>128.88990000000001</v>
      </c>
    </row>
    <row r="300" spans="1:5" x14ac:dyDescent="0.35">
      <c r="A300" s="75" t="s">
        <v>283</v>
      </c>
      <c r="B300" s="75" t="s">
        <v>314</v>
      </c>
      <c r="C300" s="76" t="s">
        <v>303</v>
      </c>
      <c r="D300" s="77">
        <v>39125</v>
      </c>
      <c r="E300" s="78">
        <v>124.3728</v>
      </c>
    </row>
    <row r="301" spans="1:5" x14ac:dyDescent="0.35">
      <c r="A301" s="75" t="s">
        <v>270</v>
      </c>
      <c r="B301" s="75" t="s">
        <v>315</v>
      </c>
      <c r="C301" s="76" t="s">
        <v>303</v>
      </c>
      <c r="D301" s="77">
        <v>39125</v>
      </c>
      <c r="E301" s="78">
        <v>119.38079999999999</v>
      </c>
    </row>
    <row r="302" spans="1:5" x14ac:dyDescent="0.35">
      <c r="A302" s="75" t="s">
        <v>283</v>
      </c>
      <c r="B302" s="75" t="s">
        <v>316</v>
      </c>
      <c r="C302" s="76" t="s">
        <v>303</v>
      </c>
      <c r="D302" s="77">
        <v>39130</v>
      </c>
      <c r="E302" s="78">
        <v>125.2332</v>
      </c>
    </row>
    <row r="303" spans="1:5" x14ac:dyDescent="0.35">
      <c r="A303" s="75" t="s">
        <v>276</v>
      </c>
      <c r="B303" s="75" t="s">
        <v>299</v>
      </c>
      <c r="C303" s="76" t="s">
        <v>303</v>
      </c>
      <c r="D303" s="77">
        <v>39131</v>
      </c>
      <c r="E303" s="78">
        <v>124.32640000000001</v>
      </c>
    </row>
    <row r="304" spans="1:5" x14ac:dyDescent="0.35">
      <c r="A304" s="75" t="s">
        <v>283</v>
      </c>
      <c r="B304" s="75" t="s">
        <v>317</v>
      </c>
      <c r="C304" s="76" t="s">
        <v>303</v>
      </c>
      <c r="D304" s="77">
        <v>39136</v>
      </c>
      <c r="E304" s="78">
        <v>129.38419999999999</v>
      </c>
    </row>
    <row r="305" spans="1:16" ht="21" x14ac:dyDescent="0.5">
      <c r="A305" s="75" t="s">
        <v>276</v>
      </c>
      <c r="B305" s="75" t="s">
        <v>318</v>
      </c>
      <c r="C305" s="76" t="s">
        <v>303</v>
      </c>
      <c r="D305" s="77">
        <v>39137</v>
      </c>
      <c r="E305" s="78">
        <v>111.32640000000001</v>
      </c>
      <c r="K305" s="83" t="s">
        <v>611</v>
      </c>
    </row>
    <row r="306" spans="1:16" x14ac:dyDescent="0.35">
      <c r="A306" s="75" t="s">
        <v>276</v>
      </c>
      <c r="B306" s="75" t="s">
        <v>319</v>
      </c>
      <c r="C306" s="76" t="s">
        <v>303</v>
      </c>
      <c r="D306" s="77">
        <v>39137</v>
      </c>
      <c r="E306" s="78">
        <v>104.8154</v>
      </c>
    </row>
    <row r="307" spans="1:16" x14ac:dyDescent="0.35">
      <c r="A307" s="75" t="s">
        <v>276</v>
      </c>
      <c r="B307" s="75" t="s">
        <v>320</v>
      </c>
      <c r="C307" s="76" t="s">
        <v>303</v>
      </c>
      <c r="D307" s="77">
        <v>39137</v>
      </c>
      <c r="E307" s="78">
        <v>124.32640000000001</v>
      </c>
      <c r="K307" s="81" t="s">
        <v>593</v>
      </c>
      <c r="L307" s="81"/>
      <c r="M307" s="81"/>
    </row>
    <row r="308" spans="1:16" x14ac:dyDescent="0.35">
      <c r="A308" s="75" t="s">
        <v>274</v>
      </c>
      <c r="B308" s="75" t="s">
        <v>321</v>
      </c>
      <c r="C308" s="76" t="s">
        <v>303</v>
      </c>
      <c r="D308" s="77">
        <v>39138</v>
      </c>
      <c r="E308" s="78">
        <v>115.6814</v>
      </c>
    </row>
    <row r="309" spans="1:16" x14ac:dyDescent="0.35">
      <c r="K309" s="16" t="s">
        <v>594</v>
      </c>
      <c r="L309" s="16" t="s">
        <v>595</v>
      </c>
      <c r="M309" s="16" t="s">
        <v>596</v>
      </c>
      <c r="N309" s="16" t="s">
        <v>596</v>
      </c>
      <c r="O309" s="16" t="s">
        <v>597</v>
      </c>
    </row>
    <row r="310" spans="1:16" x14ac:dyDescent="0.35">
      <c r="K310" s="82" t="s">
        <v>61</v>
      </c>
      <c r="L310" t="s">
        <v>62</v>
      </c>
      <c r="M310" s="82" t="s">
        <v>598</v>
      </c>
      <c r="N310" t="s">
        <v>599</v>
      </c>
      <c r="O310" t="str">
        <f>_xlfn.TEXTJOIN("-",TRUE,K310:N310)</f>
        <v>Jahangir-Sachwani-PK01-Khi02</v>
      </c>
      <c r="P310" t="str">
        <f>_xlfn.TEXTJOIN("-",1,K310,L310,M310,N310)</f>
        <v>Jahangir-Sachwani-PK01-Khi02</v>
      </c>
    </row>
    <row r="311" spans="1:16" x14ac:dyDescent="0.35">
      <c r="K311" s="82" t="s">
        <v>600</v>
      </c>
      <c r="L311" t="s">
        <v>62</v>
      </c>
      <c r="M311" s="82" t="s">
        <v>601</v>
      </c>
      <c r="N311" t="s">
        <v>602</v>
      </c>
      <c r="O311" t="str">
        <f t="shared" ref="O311:O314" si="8">_xlfn.TEXTJOIN("-",TRUE,K311:N311)</f>
        <v>Abdullah-Sachwani-PK02-Lhr03</v>
      </c>
    </row>
    <row r="312" spans="1:16" x14ac:dyDescent="0.35">
      <c r="K312" s="82" t="s">
        <v>64</v>
      </c>
      <c r="L312" t="s">
        <v>603</v>
      </c>
      <c r="M312" s="82" t="s">
        <v>604</v>
      </c>
      <c r="N312" t="s">
        <v>605</v>
      </c>
      <c r="O312" t="str">
        <f t="shared" si="8"/>
        <v>Haseeb-Hashmi-PK05-Isl01</v>
      </c>
    </row>
    <row r="313" spans="1:16" x14ac:dyDescent="0.35">
      <c r="K313" s="82" t="s">
        <v>606</v>
      </c>
      <c r="L313" t="s">
        <v>607</v>
      </c>
      <c r="M313" s="82" t="s">
        <v>598</v>
      </c>
      <c r="N313" t="s">
        <v>608</v>
      </c>
      <c r="O313" t="str">
        <f t="shared" si="8"/>
        <v>Zahra-Salman-PK01-Khi04</v>
      </c>
    </row>
    <row r="314" spans="1:16" x14ac:dyDescent="0.35">
      <c r="K314" s="82" t="s">
        <v>607</v>
      </c>
      <c r="L314" t="s">
        <v>609</v>
      </c>
      <c r="M314" s="82" t="s">
        <v>604</v>
      </c>
      <c r="N314" t="s">
        <v>610</v>
      </c>
      <c r="O314" t="str">
        <f t="shared" si="8"/>
        <v>Salman-Nathani-PK05-Isl06</v>
      </c>
    </row>
  </sheetData>
  <autoFilter ref="A136:I150" xr:uid="{AADC21F4-63F5-4D36-8E61-AD103F324957}"/>
  <mergeCells count="10">
    <mergeCell ref="A132:G134"/>
    <mergeCell ref="A172:C172"/>
    <mergeCell ref="H82:H83"/>
    <mergeCell ref="I82:I83"/>
    <mergeCell ref="J82:J83"/>
    <mergeCell ref="A1:R4"/>
    <mergeCell ref="A8:R10"/>
    <mergeCell ref="A20:R22"/>
    <mergeCell ref="I29:L33"/>
    <mergeCell ref="I71:K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17024-AC2C-4CBC-B92E-5C638D9607D5}">
  <dimension ref="A1:H453"/>
  <sheetViews>
    <sheetView workbookViewId="0">
      <selection activeCell="I15" sqref="I15"/>
    </sheetView>
  </sheetViews>
  <sheetFormatPr defaultRowHeight="14.5" x14ac:dyDescent="0.35"/>
  <cols>
    <col min="1" max="1" width="8.453125" bestFit="1" customWidth="1"/>
    <col min="2" max="2" width="18" bestFit="1" customWidth="1"/>
    <col min="3" max="3" width="10.81640625" bestFit="1" customWidth="1"/>
    <col min="4" max="4" width="11.7265625" bestFit="1" customWidth="1"/>
    <col min="5" max="5" width="8.54296875" bestFit="1" customWidth="1"/>
    <col min="8" max="8" width="11.1796875" bestFit="1" customWidth="1"/>
  </cols>
  <sheetData>
    <row r="1" spans="1:8" x14ac:dyDescent="0.35">
      <c r="A1" s="73" t="s">
        <v>15</v>
      </c>
      <c r="B1" s="73" t="s">
        <v>266</v>
      </c>
      <c r="C1" s="74" t="s">
        <v>267</v>
      </c>
      <c r="D1" s="74" t="s">
        <v>268</v>
      </c>
      <c r="E1" s="74" t="s">
        <v>269</v>
      </c>
      <c r="H1" s="11" t="s">
        <v>53</v>
      </c>
    </row>
    <row r="2" spans="1:8" x14ac:dyDescent="0.35">
      <c r="A2" s="75" t="s">
        <v>270</v>
      </c>
      <c r="B2" s="75" t="s">
        <v>271</v>
      </c>
      <c r="C2" s="76" t="s">
        <v>272</v>
      </c>
      <c r="D2" s="77">
        <v>39091</v>
      </c>
      <c r="E2" s="78">
        <v>344.3938</v>
      </c>
      <c r="H2" t="s">
        <v>273</v>
      </c>
    </row>
    <row r="3" spans="1:8" x14ac:dyDescent="0.35">
      <c r="A3" s="75" t="s">
        <v>274</v>
      </c>
      <c r="B3" s="75" t="s">
        <v>275</v>
      </c>
      <c r="C3" s="76" t="s">
        <v>272</v>
      </c>
      <c r="D3" s="77">
        <v>39108</v>
      </c>
      <c r="E3" s="78">
        <v>301.11840000000001</v>
      </c>
    </row>
    <row r="4" spans="1:8" x14ac:dyDescent="0.35">
      <c r="A4" s="75" t="s">
        <v>276</v>
      </c>
      <c r="B4" s="75" t="s">
        <v>277</v>
      </c>
      <c r="C4" s="76" t="s">
        <v>272</v>
      </c>
      <c r="D4" s="77">
        <v>39146</v>
      </c>
      <c r="E4" s="78">
        <v>598.88649999999996</v>
      </c>
    </row>
    <row r="5" spans="1:8" x14ac:dyDescent="0.35">
      <c r="A5" s="75" t="s">
        <v>276</v>
      </c>
      <c r="B5" s="75" t="s">
        <v>278</v>
      </c>
      <c r="C5" s="76" t="s">
        <v>272</v>
      </c>
      <c r="D5" s="77">
        <v>39172</v>
      </c>
      <c r="E5" s="78">
        <v>424.62889999999999</v>
      </c>
      <c r="G5" s="16" t="s">
        <v>83</v>
      </c>
      <c r="H5">
        <f>SUM(Table1[[#All],[Revenue]])</f>
        <v>73031.126399999936</v>
      </c>
    </row>
    <row r="6" spans="1:8" x14ac:dyDescent="0.35">
      <c r="A6" s="75" t="s">
        <v>276</v>
      </c>
      <c r="B6" s="75" t="s">
        <v>279</v>
      </c>
      <c r="C6" s="76" t="s">
        <v>272</v>
      </c>
      <c r="D6" s="77">
        <v>39175</v>
      </c>
      <c r="E6" s="78">
        <v>424.62889999999999</v>
      </c>
      <c r="G6" s="16" t="s">
        <v>90</v>
      </c>
      <c r="H6">
        <f>AVERAGE(Table1[[#All],[Revenue]])</f>
        <v>161.57328849557507</v>
      </c>
    </row>
    <row r="7" spans="1:8" x14ac:dyDescent="0.35">
      <c r="A7" s="75" t="s">
        <v>276</v>
      </c>
      <c r="B7" s="75" t="s">
        <v>280</v>
      </c>
      <c r="C7" s="76" t="s">
        <v>272</v>
      </c>
      <c r="D7" s="77">
        <v>39181</v>
      </c>
      <c r="E7" s="78">
        <v>604.47080000000005</v>
      </c>
      <c r="H7">
        <f>SUM(Table1[[#All],[Revenue]])</f>
        <v>73031.126399999936</v>
      </c>
    </row>
    <row r="8" spans="1:8" x14ac:dyDescent="0.35">
      <c r="A8" s="75" t="s">
        <v>270</v>
      </c>
      <c r="B8" s="75" t="s">
        <v>281</v>
      </c>
      <c r="C8" s="76" t="s">
        <v>272</v>
      </c>
      <c r="D8" s="77">
        <v>39192</v>
      </c>
      <c r="E8" s="78">
        <v>351.30329999999998</v>
      </c>
    </row>
    <row r="9" spans="1:8" x14ac:dyDescent="0.35">
      <c r="A9" s="75" t="s">
        <v>274</v>
      </c>
      <c r="B9" s="75" t="s">
        <v>282</v>
      </c>
      <c r="C9" s="76" t="s">
        <v>272</v>
      </c>
      <c r="D9" s="77">
        <v>39201</v>
      </c>
      <c r="E9" s="78">
        <v>388.93259999999998</v>
      </c>
    </row>
    <row r="10" spans="1:8" x14ac:dyDescent="0.35">
      <c r="A10" s="75" t="s">
        <v>283</v>
      </c>
      <c r="B10" s="75" t="s">
        <v>284</v>
      </c>
      <c r="C10" s="76" t="s">
        <v>272</v>
      </c>
      <c r="D10" s="77">
        <v>39206</v>
      </c>
      <c r="E10" s="78">
        <v>482.15460000000002</v>
      </c>
    </row>
    <row r="11" spans="1:8" x14ac:dyDescent="0.35">
      <c r="A11" s="75" t="s">
        <v>270</v>
      </c>
      <c r="B11" s="75" t="s">
        <v>271</v>
      </c>
      <c r="C11" s="76" t="s">
        <v>272</v>
      </c>
      <c r="D11" s="77">
        <v>39210</v>
      </c>
      <c r="E11" s="78">
        <v>344.3938</v>
      </c>
    </row>
    <row r="12" spans="1:8" x14ac:dyDescent="0.35">
      <c r="A12" s="75" t="s">
        <v>276</v>
      </c>
      <c r="B12" s="75" t="s">
        <v>285</v>
      </c>
      <c r="C12" s="76" t="s">
        <v>272</v>
      </c>
      <c r="D12" s="77">
        <v>39221</v>
      </c>
      <c r="E12" s="78">
        <v>484.20249999999999</v>
      </c>
    </row>
    <row r="13" spans="1:8" x14ac:dyDescent="0.35">
      <c r="A13" s="75" t="s">
        <v>283</v>
      </c>
      <c r="B13" s="75" t="s">
        <v>286</v>
      </c>
      <c r="C13" s="76" t="s">
        <v>272</v>
      </c>
      <c r="D13" s="77">
        <v>39221</v>
      </c>
      <c r="E13" s="78">
        <v>474.30430000000001</v>
      </c>
    </row>
    <row r="14" spans="1:8" x14ac:dyDescent="0.35">
      <c r="A14" s="75" t="s">
        <v>283</v>
      </c>
      <c r="B14" s="75" t="s">
        <v>287</v>
      </c>
      <c r="C14" s="76" t="s">
        <v>272</v>
      </c>
      <c r="D14" s="77">
        <v>39224</v>
      </c>
      <c r="E14" s="78">
        <v>566.70860000000005</v>
      </c>
    </row>
    <row r="15" spans="1:8" x14ac:dyDescent="0.35">
      <c r="A15" s="75" t="s">
        <v>274</v>
      </c>
      <c r="B15" s="75" t="s">
        <v>288</v>
      </c>
      <c r="C15" s="76" t="s">
        <v>272</v>
      </c>
      <c r="D15" s="77">
        <v>39236</v>
      </c>
      <c r="E15" s="78">
        <v>388.93259999999998</v>
      </c>
    </row>
    <row r="16" spans="1:8" x14ac:dyDescent="0.35">
      <c r="A16" s="75" t="s">
        <v>276</v>
      </c>
      <c r="B16" s="75" t="s">
        <v>289</v>
      </c>
      <c r="C16" s="76" t="s">
        <v>272</v>
      </c>
      <c r="D16" s="77">
        <v>39244</v>
      </c>
      <c r="E16" s="78">
        <v>401.57470000000001</v>
      </c>
    </row>
    <row r="17" spans="1:5" x14ac:dyDescent="0.35">
      <c r="A17" s="75" t="s">
        <v>274</v>
      </c>
      <c r="B17" s="75" t="s">
        <v>290</v>
      </c>
      <c r="C17" s="76" t="s">
        <v>272</v>
      </c>
      <c r="D17" s="77">
        <v>39252</v>
      </c>
      <c r="E17" s="78">
        <v>528.53489999999999</v>
      </c>
    </row>
    <row r="18" spans="1:5" x14ac:dyDescent="0.35">
      <c r="A18" s="75" t="s">
        <v>274</v>
      </c>
      <c r="B18" s="75" t="s">
        <v>291</v>
      </c>
      <c r="C18" s="76" t="s">
        <v>272</v>
      </c>
      <c r="D18" s="77">
        <v>39256</v>
      </c>
      <c r="E18" s="78">
        <v>388.93259999999998</v>
      </c>
    </row>
    <row r="19" spans="1:5" x14ac:dyDescent="0.35">
      <c r="A19" s="75" t="s">
        <v>274</v>
      </c>
      <c r="B19" s="75" t="s">
        <v>292</v>
      </c>
      <c r="C19" s="76" t="s">
        <v>272</v>
      </c>
      <c r="D19" s="77">
        <v>39264</v>
      </c>
      <c r="E19" s="78">
        <v>416.76530000000002</v>
      </c>
    </row>
    <row r="20" spans="1:5" x14ac:dyDescent="0.35">
      <c r="A20" s="75" t="s">
        <v>270</v>
      </c>
      <c r="B20" s="75" t="s">
        <v>293</v>
      </c>
      <c r="C20" s="76" t="s">
        <v>272</v>
      </c>
      <c r="D20" s="77">
        <v>39265</v>
      </c>
      <c r="E20" s="78">
        <v>344.3938</v>
      </c>
    </row>
    <row r="21" spans="1:5" x14ac:dyDescent="0.35">
      <c r="A21" s="75" t="s">
        <v>274</v>
      </c>
      <c r="B21" s="75" t="s">
        <v>294</v>
      </c>
      <c r="C21" s="76" t="s">
        <v>272</v>
      </c>
      <c r="D21" s="77">
        <v>39278</v>
      </c>
      <c r="E21" s="78">
        <v>388.93259999999998</v>
      </c>
    </row>
    <row r="22" spans="1:5" x14ac:dyDescent="0.35">
      <c r="A22" s="75" t="s">
        <v>274</v>
      </c>
      <c r="B22" s="75" t="s">
        <v>295</v>
      </c>
      <c r="C22" s="76" t="s">
        <v>272</v>
      </c>
      <c r="D22" s="77">
        <v>39284</v>
      </c>
      <c r="E22" s="78">
        <v>388.93259999999998</v>
      </c>
    </row>
    <row r="23" spans="1:5" x14ac:dyDescent="0.35">
      <c r="A23" s="75" t="s">
        <v>274</v>
      </c>
      <c r="B23" s="75" t="s">
        <v>296</v>
      </c>
      <c r="C23" s="76" t="s">
        <v>272</v>
      </c>
      <c r="D23" s="77">
        <v>39305</v>
      </c>
      <c r="E23" s="78">
        <v>528.53489999999999</v>
      </c>
    </row>
    <row r="24" spans="1:5" x14ac:dyDescent="0.35">
      <c r="A24" s="75" t="s">
        <v>274</v>
      </c>
      <c r="B24" s="75" t="s">
        <v>297</v>
      </c>
      <c r="C24" s="76" t="s">
        <v>272</v>
      </c>
      <c r="D24" s="77">
        <v>39307</v>
      </c>
      <c r="E24" s="78">
        <v>445.23489999999998</v>
      </c>
    </row>
    <row r="25" spans="1:5" x14ac:dyDescent="0.35">
      <c r="A25" s="75" t="s">
        <v>274</v>
      </c>
      <c r="B25" s="75" t="s">
        <v>288</v>
      </c>
      <c r="C25" s="76" t="s">
        <v>272</v>
      </c>
      <c r="D25" s="77">
        <v>39334</v>
      </c>
      <c r="E25" s="78">
        <v>388.93259999999998</v>
      </c>
    </row>
    <row r="26" spans="1:5" x14ac:dyDescent="0.35">
      <c r="A26" s="75" t="s">
        <v>283</v>
      </c>
      <c r="B26" s="75" t="s">
        <v>298</v>
      </c>
      <c r="C26" s="76" t="s">
        <v>272</v>
      </c>
      <c r="D26" s="77">
        <v>39336</v>
      </c>
      <c r="E26" s="78">
        <v>630.7242</v>
      </c>
    </row>
    <row r="27" spans="1:5" x14ac:dyDescent="0.35">
      <c r="A27" s="75" t="s">
        <v>276</v>
      </c>
      <c r="B27" s="75" t="s">
        <v>299</v>
      </c>
      <c r="C27" s="76" t="s">
        <v>272</v>
      </c>
      <c r="D27" s="77">
        <v>39391</v>
      </c>
      <c r="E27" s="78">
        <v>484.20249999999999</v>
      </c>
    </row>
    <row r="28" spans="1:5" x14ac:dyDescent="0.35">
      <c r="A28" s="75" t="s">
        <v>276</v>
      </c>
      <c r="B28" s="75" t="s">
        <v>299</v>
      </c>
      <c r="C28" s="76" t="s">
        <v>272</v>
      </c>
      <c r="D28" s="77">
        <v>39391</v>
      </c>
      <c r="E28" s="78">
        <v>484.20249999999999</v>
      </c>
    </row>
    <row r="29" spans="1:5" x14ac:dyDescent="0.35">
      <c r="A29" s="75" t="s">
        <v>270</v>
      </c>
      <c r="B29" s="75" t="s">
        <v>300</v>
      </c>
      <c r="C29" s="76" t="s">
        <v>272</v>
      </c>
      <c r="D29" s="77">
        <v>39403</v>
      </c>
      <c r="E29" s="78">
        <v>361.43680000000001</v>
      </c>
    </row>
    <row r="30" spans="1:5" x14ac:dyDescent="0.35">
      <c r="A30" s="75" t="s">
        <v>274</v>
      </c>
      <c r="B30" s="75" t="s">
        <v>301</v>
      </c>
      <c r="C30" s="76" t="s">
        <v>272</v>
      </c>
      <c r="D30" s="77">
        <v>39433</v>
      </c>
      <c r="E30" s="78">
        <v>445.23489999999998</v>
      </c>
    </row>
    <row r="31" spans="1:5" x14ac:dyDescent="0.35">
      <c r="A31" s="75" t="s">
        <v>276</v>
      </c>
      <c r="B31" s="75" t="s">
        <v>302</v>
      </c>
      <c r="C31" s="76" t="s">
        <v>303</v>
      </c>
      <c r="D31" s="77">
        <v>39091</v>
      </c>
      <c r="E31" s="78">
        <v>100.6961</v>
      </c>
    </row>
    <row r="32" spans="1:5" x14ac:dyDescent="0.35">
      <c r="A32" s="75" t="s">
        <v>283</v>
      </c>
      <c r="B32" s="75" t="s">
        <v>304</v>
      </c>
      <c r="C32" s="76" t="s">
        <v>303</v>
      </c>
      <c r="D32" s="77">
        <v>39096</v>
      </c>
      <c r="E32" s="78">
        <v>114.4649</v>
      </c>
    </row>
    <row r="33" spans="1:5" x14ac:dyDescent="0.35">
      <c r="A33" s="75" t="s">
        <v>283</v>
      </c>
      <c r="B33" s="75" t="s">
        <v>305</v>
      </c>
      <c r="C33" s="76" t="s">
        <v>303</v>
      </c>
      <c r="D33" s="77">
        <v>39098</v>
      </c>
      <c r="E33" s="78">
        <v>124.3728</v>
      </c>
    </row>
    <row r="34" spans="1:5" x14ac:dyDescent="0.35">
      <c r="A34" s="75" t="s">
        <v>276</v>
      </c>
      <c r="B34" s="75" t="s">
        <v>306</v>
      </c>
      <c r="C34" s="76" t="s">
        <v>303</v>
      </c>
      <c r="D34" s="77">
        <v>39101</v>
      </c>
      <c r="E34" s="78">
        <v>107.9136</v>
      </c>
    </row>
    <row r="35" spans="1:5" x14ac:dyDescent="0.35">
      <c r="A35" s="75" t="s">
        <v>276</v>
      </c>
      <c r="B35" s="75" t="s">
        <v>307</v>
      </c>
      <c r="C35" s="76" t="s">
        <v>303</v>
      </c>
      <c r="D35" s="77">
        <v>39116</v>
      </c>
      <c r="E35" s="78">
        <v>112.3938</v>
      </c>
    </row>
    <row r="36" spans="1:5" x14ac:dyDescent="0.35">
      <c r="A36" s="75" t="s">
        <v>270</v>
      </c>
      <c r="B36" s="75" t="s">
        <v>308</v>
      </c>
      <c r="C36" s="76" t="s">
        <v>303</v>
      </c>
      <c r="D36" s="77">
        <v>39117</v>
      </c>
      <c r="E36" s="78">
        <v>112.0056</v>
      </c>
    </row>
    <row r="37" spans="1:5" x14ac:dyDescent="0.35">
      <c r="A37" s="75" t="s">
        <v>276</v>
      </c>
      <c r="B37" s="75" t="s">
        <v>309</v>
      </c>
      <c r="C37" s="76" t="s">
        <v>303</v>
      </c>
      <c r="D37" s="77">
        <v>39117</v>
      </c>
      <c r="E37" s="78">
        <v>128.88990000000001</v>
      </c>
    </row>
    <row r="38" spans="1:5" x14ac:dyDescent="0.35">
      <c r="A38" s="75" t="s">
        <v>276</v>
      </c>
      <c r="B38" s="75" t="s">
        <v>310</v>
      </c>
      <c r="C38" s="76" t="s">
        <v>303</v>
      </c>
      <c r="D38" s="77">
        <v>39117</v>
      </c>
      <c r="E38" s="78">
        <v>111.11790000000001</v>
      </c>
    </row>
    <row r="39" spans="1:5" x14ac:dyDescent="0.35">
      <c r="A39" s="75" t="s">
        <v>276</v>
      </c>
      <c r="B39" s="75" t="s">
        <v>311</v>
      </c>
      <c r="C39" s="76" t="s">
        <v>303</v>
      </c>
      <c r="D39" s="77">
        <v>39119</v>
      </c>
      <c r="E39" s="78">
        <v>100.6961</v>
      </c>
    </row>
    <row r="40" spans="1:5" x14ac:dyDescent="0.35">
      <c r="A40" s="75" t="s">
        <v>283</v>
      </c>
      <c r="B40" s="75" t="s">
        <v>312</v>
      </c>
      <c r="C40" s="76" t="s">
        <v>303</v>
      </c>
      <c r="D40" s="77">
        <v>39122</v>
      </c>
      <c r="E40" s="78">
        <v>125.2332</v>
      </c>
    </row>
    <row r="41" spans="1:5" x14ac:dyDescent="0.35">
      <c r="A41" s="75" t="s">
        <v>276</v>
      </c>
      <c r="B41" s="75" t="s">
        <v>313</v>
      </c>
      <c r="C41" s="76" t="s">
        <v>303</v>
      </c>
      <c r="D41" s="77">
        <v>39123</v>
      </c>
      <c r="E41" s="78">
        <v>128.88990000000001</v>
      </c>
    </row>
    <row r="42" spans="1:5" x14ac:dyDescent="0.35">
      <c r="A42" s="75" t="s">
        <v>283</v>
      </c>
      <c r="B42" s="75" t="s">
        <v>314</v>
      </c>
      <c r="C42" s="76" t="s">
        <v>303</v>
      </c>
      <c r="D42" s="77">
        <v>39125</v>
      </c>
      <c r="E42" s="78">
        <v>124.3728</v>
      </c>
    </row>
    <row r="43" spans="1:5" x14ac:dyDescent="0.35">
      <c r="A43" s="75" t="s">
        <v>270</v>
      </c>
      <c r="B43" s="75" t="s">
        <v>315</v>
      </c>
      <c r="C43" s="76" t="s">
        <v>303</v>
      </c>
      <c r="D43" s="77">
        <v>39125</v>
      </c>
      <c r="E43" s="78">
        <v>119.38079999999999</v>
      </c>
    </row>
    <row r="44" spans="1:5" x14ac:dyDescent="0.35">
      <c r="A44" s="75" t="s">
        <v>283</v>
      </c>
      <c r="B44" s="75" t="s">
        <v>316</v>
      </c>
      <c r="C44" s="76" t="s">
        <v>303</v>
      </c>
      <c r="D44" s="77">
        <v>39130</v>
      </c>
      <c r="E44" s="78">
        <v>125.2332</v>
      </c>
    </row>
    <row r="45" spans="1:5" x14ac:dyDescent="0.35">
      <c r="A45" s="75" t="s">
        <v>276</v>
      </c>
      <c r="B45" s="75" t="s">
        <v>299</v>
      </c>
      <c r="C45" s="76" t="s">
        <v>303</v>
      </c>
      <c r="D45" s="77">
        <v>39131</v>
      </c>
      <c r="E45" s="78">
        <v>124.32640000000001</v>
      </c>
    </row>
    <row r="46" spans="1:5" x14ac:dyDescent="0.35">
      <c r="A46" s="75" t="s">
        <v>283</v>
      </c>
      <c r="B46" s="75" t="s">
        <v>317</v>
      </c>
      <c r="C46" s="76" t="s">
        <v>303</v>
      </c>
      <c r="D46" s="77">
        <v>39136</v>
      </c>
      <c r="E46" s="78">
        <v>129.38419999999999</v>
      </c>
    </row>
    <row r="47" spans="1:5" x14ac:dyDescent="0.35">
      <c r="A47" s="75" t="s">
        <v>276</v>
      </c>
      <c r="B47" s="75" t="s">
        <v>318</v>
      </c>
      <c r="C47" s="76" t="s">
        <v>303</v>
      </c>
      <c r="D47" s="77">
        <v>39137</v>
      </c>
      <c r="E47" s="78">
        <v>111.32640000000001</v>
      </c>
    </row>
    <row r="48" spans="1:5" x14ac:dyDescent="0.35">
      <c r="A48" s="75" t="s">
        <v>276</v>
      </c>
      <c r="B48" s="75" t="s">
        <v>319</v>
      </c>
      <c r="C48" s="76" t="s">
        <v>303</v>
      </c>
      <c r="D48" s="77">
        <v>39137</v>
      </c>
      <c r="E48" s="78">
        <v>104.8154</v>
      </c>
    </row>
    <row r="49" spans="1:5" x14ac:dyDescent="0.35">
      <c r="A49" s="75" t="s">
        <v>276</v>
      </c>
      <c r="B49" s="75" t="s">
        <v>320</v>
      </c>
      <c r="C49" s="76" t="s">
        <v>303</v>
      </c>
      <c r="D49" s="77">
        <v>39137</v>
      </c>
      <c r="E49" s="78">
        <v>124.32640000000001</v>
      </c>
    </row>
    <row r="50" spans="1:5" x14ac:dyDescent="0.35">
      <c r="A50" s="75" t="s">
        <v>274</v>
      </c>
      <c r="B50" s="75" t="s">
        <v>321</v>
      </c>
      <c r="C50" s="76" t="s">
        <v>303</v>
      </c>
      <c r="D50" s="77">
        <v>39138</v>
      </c>
      <c r="E50" s="78">
        <v>115.6814</v>
      </c>
    </row>
    <row r="51" spans="1:5" x14ac:dyDescent="0.35">
      <c r="A51" s="75" t="s">
        <v>274</v>
      </c>
      <c r="B51" s="75" t="s">
        <v>322</v>
      </c>
      <c r="C51" s="76" t="s">
        <v>303</v>
      </c>
      <c r="D51" s="77">
        <v>39138</v>
      </c>
      <c r="E51" s="78">
        <v>115.6814</v>
      </c>
    </row>
    <row r="52" spans="1:5" x14ac:dyDescent="0.35">
      <c r="A52" s="75" t="s">
        <v>283</v>
      </c>
      <c r="B52" s="75" t="s">
        <v>287</v>
      </c>
      <c r="C52" s="76" t="s">
        <v>303</v>
      </c>
      <c r="D52" s="77">
        <v>39140</v>
      </c>
      <c r="E52" s="78">
        <v>112.1285</v>
      </c>
    </row>
    <row r="53" spans="1:5" x14ac:dyDescent="0.35">
      <c r="A53" s="75" t="s">
        <v>270</v>
      </c>
      <c r="B53" s="75" t="s">
        <v>323</v>
      </c>
      <c r="C53" s="76" t="s">
        <v>303</v>
      </c>
      <c r="D53" s="77">
        <v>39140</v>
      </c>
      <c r="E53" s="78">
        <v>108.5147</v>
      </c>
    </row>
    <row r="54" spans="1:5" x14ac:dyDescent="0.35">
      <c r="A54" s="75" t="s">
        <v>270</v>
      </c>
      <c r="B54" s="75" t="s">
        <v>324</v>
      </c>
      <c r="C54" s="76" t="s">
        <v>303</v>
      </c>
      <c r="D54" s="77">
        <v>39140</v>
      </c>
      <c r="E54" s="78">
        <v>108.5147</v>
      </c>
    </row>
    <row r="55" spans="1:5" x14ac:dyDescent="0.35">
      <c r="A55" s="75" t="s">
        <v>283</v>
      </c>
      <c r="B55" s="75" t="s">
        <v>325</v>
      </c>
      <c r="C55" s="76" t="s">
        <v>303</v>
      </c>
      <c r="D55" s="77">
        <v>39140</v>
      </c>
      <c r="E55" s="78">
        <v>115.76049999999999</v>
      </c>
    </row>
    <row r="56" spans="1:5" x14ac:dyDescent="0.35">
      <c r="A56" s="75" t="s">
        <v>270</v>
      </c>
      <c r="B56" s="75" t="s">
        <v>326</v>
      </c>
      <c r="C56" s="76" t="s">
        <v>303</v>
      </c>
      <c r="D56" s="77">
        <v>39140</v>
      </c>
      <c r="E56" s="78">
        <v>121.9118</v>
      </c>
    </row>
    <row r="57" spans="1:5" x14ac:dyDescent="0.35">
      <c r="A57" s="75" t="s">
        <v>283</v>
      </c>
      <c r="B57" s="75" t="s">
        <v>327</v>
      </c>
      <c r="C57" s="76" t="s">
        <v>303</v>
      </c>
      <c r="D57" s="77">
        <v>39150</v>
      </c>
      <c r="E57" s="78">
        <v>124.4336</v>
      </c>
    </row>
    <row r="58" spans="1:5" x14ac:dyDescent="0.35">
      <c r="A58" s="75" t="s">
        <v>276</v>
      </c>
      <c r="B58" s="75" t="s">
        <v>328</v>
      </c>
      <c r="C58" s="76" t="s">
        <v>303</v>
      </c>
      <c r="D58" s="77">
        <v>39152</v>
      </c>
      <c r="E58" s="78">
        <v>124.32640000000001</v>
      </c>
    </row>
    <row r="59" spans="1:5" x14ac:dyDescent="0.35">
      <c r="A59" s="75" t="s">
        <v>274</v>
      </c>
      <c r="B59" s="75" t="s">
        <v>329</v>
      </c>
      <c r="C59" s="76" t="s">
        <v>303</v>
      </c>
      <c r="D59" s="77">
        <v>39154</v>
      </c>
      <c r="E59" s="78">
        <v>115.6814</v>
      </c>
    </row>
    <row r="60" spans="1:5" x14ac:dyDescent="0.35">
      <c r="A60" s="75" t="s">
        <v>274</v>
      </c>
      <c r="B60" s="75" t="s">
        <v>330</v>
      </c>
      <c r="C60" s="76" t="s">
        <v>303</v>
      </c>
      <c r="D60" s="77">
        <v>39157</v>
      </c>
      <c r="E60" s="78">
        <v>127.0779</v>
      </c>
    </row>
    <row r="61" spans="1:5" x14ac:dyDescent="0.35">
      <c r="A61" s="75" t="s">
        <v>270</v>
      </c>
      <c r="B61" s="75" t="s">
        <v>331</v>
      </c>
      <c r="C61" s="76" t="s">
        <v>303</v>
      </c>
      <c r="D61" s="77">
        <v>39167</v>
      </c>
      <c r="E61" s="78">
        <v>124.29349999999999</v>
      </c>
    </row>
    <row r="62" spans="1:5" x14ac:dyDescent="0.35">
      <c r="A62" s="75" t="s">
        <v>276</v>
      </c>
      <c r="B62" s="75" t="s">
        <v>332</v>
      </c>
      <c r="C62" s="76" t="s">
        <v>303</v>
      </c>
      <c r="D62" s="77">
        <v>39192</v>
      </c>
      <c r="E62" s="78">
        <v>108.7929</v>
      </c>
    </row>
    <row r="63" spans="1:5" x14ac:dyDescent="0.35">
      <c r="A63" s="75" t="s">
        <v>283</v>
      </c>
      <c r="B63" s="75" t="s">
        <v>333</v>
      </c>
      <c r="C63" s="76" t="s">
        <v>303</v>
      </c>
      <c r="D63" s="77">
        <v>39196</v>
      </c>
      <c r="E63" s="78">
        <v>124.3728</v>
      </c>
    </row>
    <row r="64" spans="1:5" x14ac:dyDescent="0.35">
      <c r="A64" s="75" t="s">
        <v>276</v>
      </c>
      <c r="B64" s="75" t="s">
        <v>334</v>
      </c>
      <c r="C64" s="76" t="s">
        <v>303</v>
      </c>
      <c r="D64" s="77">
        <v>39203</v>
      </c>
      <c r="E64" s="78">
        <v>107.9136</v>
      </c>
    </row>
    <row r="65" spans="1:5" x14ac:dyDescent="0.35">
      <c r="A65" s="75" t="s">
        <v>270</v>
      </c>
      <c r="B65" s="75" t="s">
        <v>335</v>
      </c>
      <c r="C65" s="76" t="s">
        <v>303</v>
      </c>
      <c r="D65" s="77">
        <v>39203</v>
      </c>
      <c r="E65" s="78">
        <v>108.5147</v>
      </c>
    </row>
    <row r="66" spans="1:5" x14ac:dyDescent="0.35">
      <c r="A66" s="75" t="s">
        <v>283</v>
      </c>
      <c r="B66" s="75" t="s">
        <v>287</v>
      </c>
      <c r="C66" s="76" t="s">
        <v>303</v>
      </c>
      <c r="D66" s="77">
        <v>39207</v>
      </c>
      <c r="E66" s="78">
        <v>112.1285</v>
      </c>
    </row>
    <row r="67" spans="1:5" x14ac:dyDescent="0.35">
      <c r="A67" s="75" t="s">
        <v>283</v>
      </c>
      <c r="B67" s="75" t="s">
        <v>336</v>
      </c>
      <c r="C67" s="76" t="s">
        <v>303</v>
      </c>
      <c r="D67" s="77">
        <v>39209</v>
      </c>
      <c r="E67" s="78">
        <v>125.2332</v>
      </c>
    </row>
    <row r="68" spans="1:5" x14ac:dyDescent="0.35">
      <c r="A68" s="75" t="s">
        <v>270</v>
      </c>
      <c r="B68" s="75" t="s">
        <v>337</v>
      </c>
      <c r="C68" s="76" t="s">
        <v>303</v>
      </c>
      <c r="D68" s="77">
        <v>39216</v>
      </c>
      <c r="E68" s="78">
        <v>122.8494</v>
      </c>
    </row>
    <row r="69" spans="1:5" x14ac:dyDescent="0.35">
      <c r="A69" s="75" t="s">
        <v>283</v>
      </c>
      <c r="B69" s="75" t="s">
        <v>327</v>
      </c>
      <c r="C69" s="76" t="s">
        <v>303</v>
      </c>
      <c r="D69" s="77">
        <v>39220</v>
      </c>
      <c r="E69" s="78">
        <v>124.4336</v>
      </c>
    </row>
    <row r="70" spans="1:5" x14ac:dyDescent="0.35">
      <c r="A70" s="75" t="s">
        <v>274</v>
      </c>
      <c r="B70" s="75" t="s">
        <v>338</v>
      </c>
      <c r="C70" s="76" t="s">
        <v>303</v>
      </c>
      <c r="D70" s="77">
        <v>39220</v>
      </c>
      <c r="E70" s="78">
        <v>127.0779</v>
      </c>
    </row>
    <row r="71" spans="1:5" x14ac:dyDescent="0.35">
      <c r="A71" s="75" t="s">
        <v>274</v>
      </c>
      <c r="B71" s="75" t="s">
        <v>339</v>
      </c>
      <c r="C71" s="76" t="s">
        <v>303</v>
      </c>
      <c r="D71" s="77">
        <v>39221</v>
      </c>
      <c r="E71" s="78">
        <v>122.7343</v>
      </c>
    </row>
    <row r="72" spans="1:5" x14ac:dyDescent="0.35">
      <c r="A72" s="75" t="s">
        <v>283</v>
      </c>
      <c r="B72" s="75" t="s">
        <v>340</v>
      </c>
      <c r="C72" s="76" t="s">
        <v>303</v>
      </c>
      <c r="D72" s="77">
        <v>39224</v>
      </c>
      <c r="E72" s="78">
        <v>125.2332</v>
      </c>
    </row>
    <row r="73" spans="1:5" x14ac:dyDescent="0.35">
      <c r="A73" s="75" t="s">
        <v>274</v>
      </c>
      <c r="B73" s="75" t="s">
        <v>341</v>
      </c>
      <c r="C73" s="76" t="s">
        <v>303</v>
      </c>
      <c r="D73" s="77">
        <v>39224</v>
      </c>
      <c r="E73" s="78">
        <v>115.6814</v>
      </c>
    </row>
    <row r="74" spans="1:5" x14ac:dyDescent="0.35">
      <c r="A74" s="75" t="s">
        <v>283</v>
      </c>
      <c r="B74" s="75" t="s">
        <v>342</v>
      </c>
      <c r="C74" s="76" t="s">
        <v>303</v>
      </c>
      <c r="D74" s="77">
        <v>39229</v>
      </c>
      <c r="E74" s="78">
        <v>141.53649999999999</v>
      </c>
    </row>
    <row r="75" spans="1:5" x14ac:dyDescent="0.35">
      <c r="A75" s="75" t="s">
        <v>276</v>
      </c>
      <c r="B75" s="75" t="s">
        <v>343</v>
      </c>
      <c r="C75" s="76" t="s">
        <v>303</v>
      </c>
      <c r="D75" s="77">
        <v>39231</v>
      </c>
      <c r="E75" s="78">
        <v>112.3938</v>
      </c>
    </row>
    <row r="76" spans="1:5" x14ac:dyDescent="0.35">
      <c r="A76" s="75" t="s">
        <v>276</v>
      </c>
      <c r="B76" s="75" t="s">
        <v>344</v>
      </c>
      <c r="C76" s="76" t="s">
        <v>303</v>
      </c>
      <c r="D76" s="77">
        <v>39234</v>
      </c>
      <c r="E76" s="78">
        <v>100.6961</v>
      </c>
    </row>
    <row r="77" spans="1:5" x14ac:dyDescent="0.35">
      <c r="A77" s="75" t="s">
        <v>283</v>
      </c>
      <c r="B77" s="75" t="s">
        <v>327</v>
      </c>
      <c r="C77" s="76" t="s">
        <v>303</v>
      </c>
      <c r="D77" s="77">
        <v>39234</v>
      </c>
      <c r="E77" s="78">
        <v>124.4336</v>
      </c>
    </row>
    <row r="78" spans="1:5" x14ac:dyDescent="0.35">
      <c r="A78" s="75" t="s">
        <v>283</v>
      </c>
      <c r="B78" s="75" t="s">
        <v>345</v>
      </c>
      <c r="C78" s="76" t="s">
        <v>303</v>
      </c>
      <c r="D78" s="77">
        <v>39234</v>
      </c>
      <c r="E78" s="78">
        <v>124.4336</v>
      </c>
    </row>
    <row r="79" spans="1:5" x14ac:dyDescent="0.35">
      <c r="A79" s="75" t="s">
        <v>283</v>
      </c>
      <c r="B79" s="75" t="s">
        <v>346</v>
      </c>
      <c r="C79" s="76" t="s">
        <v>303</v>
      </c>
      <c r="D79" s="77">
        <v>39237</v>
      </c>
      <c r="E79" s="78">
        <v>124.4336</v>
      </c>
    </row>
    <row r="80" spans="1:5" x14ac:dyDescent="0.35">
      <c r="A80" s="75" t="s">
        <v>276</v>
      </c>
      <c r="B80" s="75" t="s">
        <v>320</v>
      </c>
      <c r="C80" s="76" t="s">
        <v>303</v>
      </c>
      <c r="D80" s="77">
        <v>39241</v>
      </c>
      <c r="E80" s="78">
        <v>124.32640000000001</v>
      </c>
    </row>
    <row r="81" spans="1:5" x14ac:dyDescent="0.35">
      <c r="A81" s="75" t="s">
        <v>274</v>
      </c>
      <c r="B81" s="75" t="s">
        <v>347</v>
      </c>
      <c r="C81" s="76" t="s">
        <v>303</v>
      </c>
      <c r="D81" s="77">
        <v>39241</v>
      </c>
      <c r="E81" s="78">
        <v>127.0779</v>
      </c>
    </row>
    <row r="82" spans="1:5" x14ac:dyDescent="0.35">
      <c r="A82" s="75" t="s">
        <v>283</v>
      </c>
      <c r="B82" s="75" t="s">
        <v>317</v>
      </c>
      <c r="C82" s="76" t="s">
        <v>303</v>
      </c>
      <c r="D82" s="77">
        <v>39243</v>
      </c>
      <c r="E82" s="78">
        <v>129.38419999999999</v>
      </c>
    </row>
    <row r="83" spans="1:5" x14ac:dyDescent="0.35">
      <c r="A83" s="75" t="s">
        <v>283</v>
      </c>
      <c r="B83" s="75" t="s">
        <v>348</v>
      </c>
      <c r="C83" s="76" t="s">
        <v>303</v>
      </c>
      <c r="D83" s="77">
        <v>39244</v>
      </c>
      <c r="E83" s="78">
        <v>124.3728</v>
      </c>
    </row>
    <row r="84" spans="1:5" x14ac:dyDescent="0.35">
      <c r="A84" s="75" t="s">
        <v>274</v>
      </c>
      <c r="B84" s="75" t="s">
        <v>349</v>
      </c>
      <c r="C84" s="76" t="s">
        <v>303</v>
      </c>
      <c r="D84" s="77">
        <v>39251</v>
      </c>
      <c r="E84" s="78">
        <v>114.515</v>
      </c>
    </row>
    <row r="85" spans="1:5" x14ac:dyDescent="0.35">
      <c r="A85" s="75" t="s">
        <v>276</v>
      </c>
      <c r="B85" s="75" t="s">
        <v>350</v>
      </c>
      <c r="C85" s="76" t="s">
        <v>303</v>
      </c>
      <c r="D85" s="77">
        <v>39256</v>
      </c>
      <c r="E85" s="78">
        <v>107.9136</v>
      </c>
    </row>
    <row r="86" spans="1:5" x14ac:dyDescent="0.35">
      <c r="A86" s="75" t="s">
        <v>276</v>
      </c>
      <c r="B86" s="75" t="s">
        <v>351</v>
      </c>
      <c r="C86" s="76" t="s">
        <v>303</v>
      </c>
      <c r="D86" s="77">
        <v>39262</v>
      </c>
      <c r="E86" s="78">
        <v>100.6961</v>
      </c>
    </row>
    <row r="87" spans="1:5" x14ac:dyDescent="0.35">
      <c r="A87" s="75" t="s">
        <v>274</v>
      </c>
      <c r="B87" s="75" t="s">
        <v>352</v>
      </c>
      <c r="C87" s="76" t="s">
        <v>303</v>
      </c>
      <c r="D87" s="77">
        <v>39263</v>
      </c>
      <c r="E87" s="78">
        <v>113.6033</v>
      </c>
    </row>
    <row r="88" spans="1:5" x14ac:dyDescent="0.35">
      <c r="A88" s="75" t="s">
        <v>274</v>
      </c>
      <c r="B88" s="75" t="s">
        <v>353</v>
      </c>
      <c r="C88" s="76" t="s">
        <v>303</v>
      </c>
      <c r="D88" s="77">
        <v>39265</v>
      </c>
      <c r="E88" s="78">
        <v>107.97369999999999</v>
      </c>
    </row>
    <row r="89" spans="1:5" x14ac:dyDescent="0.35">
      <c r="A89" s="75" t="s">
        <v>283</v>
      </c>
      <c r="B89" s="75" t="s">
        <v>317</v>
      </c>
      <c r="C89" s="76" t="s">
        <v>303</v>
      </c>
      <c r="D89" s="77">
        <v>39284</v>
      </c>
      <c r="E89" s="78">
        <v>129.38419999999999</v>
      </c>
    </row>
    <row r="90" spans="1:5" x14ac:dyDescent="0.35">
      <c r="A90" s="75" t="s">
        <v>276</v>
      </c>
      <c r="B90" s="75" t="s">
        <v>354</v>
      </c>
      <c r="C90" s="76" t="s">
        <v>303</v>
      </c>
      <c r="D90" s="77">
        <v>39287</v>
      </c>
      <c r="E90" s="78">
        <v>100.6961</v>
      </c>
    </row>
    <row r="91" spans="1:5" x14ac:dyDescent="0.35">
      <c r="A91" s="75" t="s">
        <v>276</v>
      </c>
      <c r="B91" s="75" t="s">
        <v>355</v>
      </c>
      <c r="C91" s="76" t="s">
        <v>303</v>
      </c>
      <c r="D91" s="77">
        <v>39291</v>
      </c>
      <c r="E91" s="78">
        <v>111.11790000000001</v>
      </c>
    </row>
    <row r="92" spans="1:5" x14ac:dyDescent="0.35">
      <c r="A92" s="75" t="s">
        <v>270</v>
      </c>
      <c r="B92" s="75" t="s">
        <v>356</v>
      </c>
      <c r="C92" s="76" t="s">
        <v>303</v>
      </c>
      <c r="D92" s="77">
        <v>39292</v>
      </c>
      <c r="E92" s="78">
        <v>124.29349999999999</v>
      </c>
    </row>
    <row r="93" spans="1:5" x14ac:dyDescent="0.35">
      <c r="A93" s="75" t="s">
        <v>276</v>
      </c>
      <c r="B93" s="75" t="s">
        <v>357</v>
      </c>
      <c r="C93" s="76" t="s">
        <v>303</v>
      </c>
      <c r="D93" s="77">
        <v>39292</v>
      </c>
      <c r="E93" s="78">
        <v>112.3938</v>
      </c>
    </row>
    <row r="94" spans="1:5" x14ac:dyDescent="0.35">
      <c r="A94" s="75" t="s">
        <v>283</v>
      </c>
      <c r="B94" s="75" t="s">
        <v>345</v>
      </c>
      <c r="C94" s="76" t="s">
        <v>303</v>
      </c>
      <c r="D94" s="77">
        <v>39292</v>
      </c>
      <c r="E94" s="78">
        <v>124.4336</v>
      </c>
    </row>
    <row r="95" spans="1:5" x14ac:dyDescent="0.35">
      <c r="A95" s="75" t="s">
        <v>274</v>
      </c>
      <c r="B95" s="75" t="s">
        <v>358</v>
      </c>
      <c r="C95" s="76" t="s">
        <v>303</v>
      </c>
      <c r="D95" s="77">
        <v>39294</v>
      </c>
      <c r="E95" s="78">
        <v>121.82380000000001</v>
      </c>
    </row>
    <row r="96" spans="1:5" x14ac:dyDescent="0.35">
      <c r="A96" s="75" t="s">
        <v>283</v>
      </c>
      <c r="B96" s="75" t="s">
        <v>359</v>
      </c>
      <c r="C96" s="76" t="s">
        <v>303</v>
      </c>
      <c r="D96" s="77">
        <v>39294</v>
      </c>
      <c r="E96" s="78">
        <v>124.3728</v>
      </c>
    </row>
    <row r="97" spans="1:5" x14ac:dyDescent="0.35">
      <c r="A97" s="75" t="s">
        <v>274</v>
      </c>
      <c r="B97" s="75" t="s">
        <v>360</v>
      </c>
      <c r="C97" s="76" t="s">
        <v>303</v>
      </c>
      <c r="D97" s="77">
        <v>39297</v>
      </c>
      <c r="E97" s="78">
        <v>107.97369999999999</v>
      </c>
    </row>
    <row r="98" spans="1:5" x14ac:dyDescent="0.35">
      <c r="A98" s="75" t="s">
        <v>274</v>
      </c>
      <c r="B98" s="75" t="s">
        <v>339</v>
      </c>
      <c r="C98" s="76" t="s">
        <v>303</v>
      </c>
      <c r="D98" s="77">
        <v>39297</v>
      </c>
      <c r="E98" s="78">
        <v>122.7343</v>
      </c>
    </row>
    <row r="99" spans="1:5" x14ac:dyDescent="0.35">
      <c r="A99" s="75" t="s">
        <v>283</v>
      </c>
      <c r="B99" s="75" t="s">
        <v>361</v>
      </c>
      <c r="C99" s="76" t="s">
        <v>303</v>
      </c>
      <c r="D99" s="77">
        <v>39298</v>
      </c>
      <c r="E99" s="78">
        <v>124.3728</v>
      </c>
    </row>
    <row r="100" spans="1:5" x14ac:dyDescent="0.35">
      <c r="A100" s="75" t="s">
        <v>270</v>
      </c>
      <c r="B100" s="75" t="s">
        <v>362</v>
      </c>
      <c r="C100" s="76" t="s">
        <v>303</v>
      </c>
      <c r="D100" s="77">
        <v>39301</v>
      </c>
      <c r="E100" s="78">
        <v>119.38079999999999</v>
      </c>
    </row>
    <row r="101" spans="1:5" x14ac:dyDescent="0.35">
      <c r="A101" s="75" t="s">
        <v>276</v>
      </c>
      <c r="B101" s="75" t="s">
        <v>318</v>
      </c>
      <c r="C101" s="76" t="s">
        <v>303</v>
      </c>
      <c r="D101" s="77">
        <v>39304</v>
      </c>
      <c r="E101" s="78">
        <v>111.32640000000001</v>
      </c>
    </row>
    <row r="102" spans="1:5" x14ac:dyDescent="0.35">
      <c r="A102" s="75" t="s">
        <v>274</v>
      </c>
      <c r="B102" s="75" t="s">
        <v>363</v>
      </c>
      <c r="C102" s="76" t="s">
        <v>303</v>
      </c>
      <c r="D102" s="77">
        <v>39304</v>
      </c>
      <c r="E102" s="78">
        <v>127.0779</v>
      </c>
    </row>
    <row r="103" spans="1:5" x14ac:dyDescent="0.35">
      <c r="A103" s="75" t="s">
        <v>283</v>
      </c>
      <c r="B103" s="75" t="s">
        <v>287</v>
      </c>
      <c r="C103" s="76" t="s">
        <v>303</v>
      </c>
      <c r="D103" s="77">
        <v>39306</v>
      </c>
      <c r="E103" s="78">
        <v>112.1285</v>
      </c>
    </row>
    <row r="104" spans="1:5" x14ac:dyDescent="0.35">
      <c r="A104" s="75" t="s">
        <v>283</v>
      </c>
      <c r="B104" s="75" t="s">
        <v>364</v>
      </c>
      <c r="C104" s="76" t="s">
        <v>303</v>
      </c>
      <c r="D104" s="77">
        <v>39306</v>
      </c>
      <c r="E104" s="78">
        <v>112.1285</v>
      </c>
    </row>
    <row r="105" spans="1:5" x14ac:dyDescent="0.35">
      <c r="A105" s="75" t="s">
        <v>276</v>
      </c>
      <c r="B105" s="75" t="s">
        <v>365</v>
      </c>
      <c r="C105" s="76" t="s">
        <v>303</v>
      </c>
      <c r="D105" s="77">
        <v>39306</v>
      </c>
      <c r="E105" s="78">
        <v>111.11790000000001</v>
      </c>
    </row>
    <row r="106" spans="1:5" x14ac:dyDescent="0.35">
      <c r="A106" s="75" t="s">
        <v>274</v>
      </c>
      <c r="B106" s="75" t="s">
        <v>366</v>
      </c>
      <c r="C106" s="76" t="s">
        <v>303</v>
      </c>
      <c r="D106" s="77">
        <v>39307</v>
      </c>
      <c r="E106" s="78">
        <v>107.97369999999999</v>
      </c>
    </row>
    <row r="107" spans="1:5" x14ac:dyDescent="0.35">
      <c r="A107" s="75" t="s">
        <v>274</v>
      </c>
      <c r="B107" s="75" t="s">
        <v>367</v>
      </c>
      <c r="C107" s="76" t="s">
        <v>303</v>
      </c>
      <c r="D107" s="77">
        <v>39307</v>
      </c>
      <c r="E107" s="78">
        <v>127.0779</v>
      </c>
    </row>
    <row r="108" spans="1:5" x14ac:dyDescent="0.35">
      <c r="A108" s="75" t="s">
        <v>276</v>
      </c>
      <c r="B108" s="75" t="s">
        <v>368</v>
      </c>
      <c r="C108" s="76" t="s">
        <v>303</v>
      </c>
      <c r="D108" s="77">
        <v>39308</v>
      </c>
      <c r="E108" s="78">
        <v>124.32640000000001</v>
      </c>
    </row>
    <row r="109" spans="1:5" x14ac:dyDescent="0.35">
      <c r="A109" s="75" t="s">
        <v>274</v>
      </c>
      <c r="B109" s="75" t="s">
        <v>275</v>
      </c>
      <c r="C109" s="76" t="s">
        <v>303</v>
      </c>
      <c r="D109" s="77">
        <v>39308</v>
      </c>
      <c r="E109" s="78">
        <v>114.3595</v>
      </c>
    </row>
    <row r="110" spans="1:5" x14ac:dyDescent="0.35">
      <c r="A110" s="75" t="s">
        <v>274</v>
      </c>
      <c r="B110" s="75" t="s">
        <v>369</v>
      </c>
      <c r="C110" s="76" t="s">
        <v>303</v>
      </c>
      <c r="D110" s="77">
        <v>39315</v>
      </c>
      <c r="E110" s="78">
        <v>115.6814</v>
      </c>
    </row>
    <row r="111" spans="1:5" x14ac:dyDescent="0.35">
      <c r="A111" s="75" t="s">
        <v>276</v>
      </c>
      <c r="B111" s="75" t="s">
        <v>370</v>
      </c>
      <c r="C111" s="76" t="s">
        <v>303</v>
      </c>
      <c r="D111" s="77">
        <v>39321</v>
      </c>
      <c r="E111" s="78">
        <v>111.11790000000001</v>
      </c>
    </row>
    <row r="112" spans="1:5" x14ac:dyDescent="0.35">
      <c r="A112" s="75" t="s">
        <v>270</v>
      </c>
      <c r="B112" s="75" t="s">
        <v>371</v>
      </c>
      <c r="C112" s="76" t="s">
        <v>303</v>
      </c>
      <c r="D112" s="77">
        <v>39332</v>
      </c>
      <c r="E112" s="78">
        <v>119.38079999999999</v>
      </c>
    </row>
    <row r="113" spans="1:5" x14ac:dyDescent="0.35">
      <c r="A113" s="75" t="s">
        <v>283</v>
      </c>
      <c r="B113" s="75" t="s">
        <v>336</v>
      </c>
      <c r="C113" s="76" t="s">
        <v>303</v>
      </c>
      <c r="D113" s="77">
        <v>39335</v>
      </c>
      <c r="E113" s="78">
        <v>125.2332</v>
      </c>
    </row>
    <row r="114" spans="1:5" x14ac:dyDescent="0.35">
      <c r="A114" s="75" t="s">
        <v>276</v>
      </c>
      <c r="B114" s="75" t="s">
        <v>372</v>
      </c>
      <c r="C114" s="76" t="s">
        <v>303</v>
      </c>
      <c r="D114" s="77">
        <v>39336</v>
      </c>
      <c r="E114" s="78">
        <v>124.32640000000001</v>
      </c>
    </row>
    <row r="115" spans="1:5" x14ac:dyDescent="0.35">
      <c r="A115" s="75" t="s">
        <v>270</v>
      </c>
      <c r="B115" s="75" t="s">
        <v>323</v>
      </c>
      <c r="C115" s="76" t="s">
        <v>303</v>
      </c>
      <c r="D115" s="77">
        <v>39340</v>
      </c>
      <c r="E115" s="78">
        <v>108.5147</v>
      </c>
    </row>
    <row r="116" spans="1:5" x14ac:dyDescent="0.35">
      <c r="A116" s="75" t="s">
        <v>270</v>
      </c>
      <c r="B116" s="75" t="s">
        <v>373</v>
      </c>
      <c r="C116" s="76" t="s">
        <v>303</v>
      </c>
      <c r="D116" s="77">
        <v>39342</v>
      </c>
      <c r="E116" s="78">
        <v>112.0056</v>
      </c>
    </row>
    <row r="117" spans="1:5" x14ac:dyDescent="0.35">
      <c r="A117" s="75" t="s">
        <v>270</v>
      </c>
      <c r="B117" s="75" t="s">
        <v>374</v>
      </c>
      <c r="C117" s="76" t="s">
        <v>303</v>
      </c>
      <c r="D117" s="77">
        <v>39343</v>
      </c>
      <c r="E117" s="78">
        <v>119.8659</v>
      </c>
    </row>
    <row r="118" spans="1:5" x14ac:dyDescent="0.35">
      <c r="A118" s="75" t="s">
        <v>270</v>
      </c>
      <c r="B118" s="75" t="s">
        <v>375</v>
      </c>
      <c r="C118" s="76" t="s">
        <v>303</v>
      </c>
      <c r="D118" s="77">
        <v>39343</v>
      </c>
      <c r="E118" s="78">
        <v>117.611</v>
      </c>
    </row>
    <row r="119" spans="1:5" x14ac:dyDescent="0.35">
      <c r="A119" s="75" t="s">
        <v>283</v>
      </c>
      <c r="B119" s="75" t="s">
        <v>376</v>
      </c>
      <c r="C119" s="76" t="s">
        <v>303</v>
      </c>
      <c r="D119" s="77">
        <v>39346</v>
      </c>
      <c r="E119" s="78">
        <v>119.64279999999999</v>
      </c>
    </row>
    <row r="120" spans="1:5" x14ac:dyDescent="0.35">
      <c r="A120" s="75" t="s">
        <v>270</v>
      </c>
      <c r="B120" s="75" t="s">
        <v>377</v>
      </c>
      <c r="C120" s="76" t="s">
        <v>303</v>
      </c>
      <c r="D120" s="77">
        <v>39348</v>
      </c>
      <c r="E120" s="78">
        <v>108.5147</v>
      </c>
    </row>
    <row r="121" spans="1:5" x14ac:dyDescent="0.35">
      <c r="A121" s="75" t="s">
        <v>283</v>
      </c>
      <c r="B121" s="75" t="s">
        <v>378</v>
      </c>
      <c r="C121" s="76" t="s">
        <v>303</v>
      </c>
      <c r="D121" s="77">
        <v>39350</v>
      </c>
      <c r="E121" s="78">
        <v>119.64279999999999</v>
      </c>
    </row>
    <row r="122" spans="1:5" x14ac:dyDescent="0.35">
      <c r="A122" s="75" t="s">
        <v>283</v>
      </c>
      <c r="B122" s="75" t="s">
        <v>379</v>
      </c>
      <c r="C122" s="76" t="s">
        <v>303</v>
      </c>
      <c r="D122" s="77">
        <v>39350</v>
      </c>
      <c r="E122" s="78">
        <v>119.64279999999999</v>
      </c>
    </row>
    <row r="123" spans="1:5" x14ac:dyDescent="0.35">
      <c r="A123" s="75" t="s">
        <v>276</v>
      </c>
      <c r="B123" s="75" t="s">
        <v>299</v>
      </c>
      <c r="C123" s="76" t="s">
        <v>303</v>
      </c>
      <c r="D123" s="77">
        <v>39355</v>
      </c>
      <c r="E123" s="78">
        <v>124.32640000000001</v>
      </c>
    </row>
    <row r="124" spans="1:5" x14ac:dyDescent="0.35">
      <c r="A124" s="75" t="s">
        <v>283</v>
      </c>
      <c r="B124" s="75" t="s">
        <v>380</v>
      </c>
      <c r="C124" s="76" t="s">
        <v>303</v>
      </c>
      <c r="D124" s="77">
        <v>39357</v>
      </c>
      <c r="E124" s="78">
        <v>124.3728</v>
      </c>
    </row>
    <row r="125" spans="1:5" x14ac:dyDescent="0.35">
      <c r="A125" s="75" t="s">
        <v>274</v>
      </c>
      <c r="B125" s="75" t="s">
        <v>366</v>
      </c>
      <c r="C125" s="76" t="s">
        <v>303</v>
      </c>
      <c r="D125" s="77">
        <v>39364</v>
      </c>
      <c r="E125" s="78">
        <v>107.97369999999999</v>
      </c>
    </row>
    <row r="126" spans="1:5" x14ac:dyDescent="0.35">
      <c r="A126" s="75" t="s">
        <v>274</v>
      </c>
      <c r="B126" s="75" t="s">
        <v>381</v>
      </c>
      <c r="C126" s="76" t="s">
        <v>303</v>
      </c>
      <c r="D126" s="77">
        <v>39364</v>
      </c>
      <c r="E126" s="78">
        <v>115.6814</v>
      </c>
    </row>
    <row r="127" spans="1:5" x14ac:dyDescent="0.35">
      <c r="A127" s="75" t="s">
        <v>276</v>
      </c>
      <c r="B127" s="75" t="s">
        <v>299</v>
      </c>
      <c r="C127" s="76" t="s">
        <v>303</v>
      </c>
      <c r="D127" s="77">
        <v>39368</v>
      </c>
      <c r="E127" s="78">
        <v>124.32640000000001</v>
      </c>
    </row>
    <row r="128" spans="1:5" x14ac:dyDescent="0.35">
      <c r="A128" s="75" t="s">
        <v>270</v>
      </c>
      <c r="B128" s="75" t="s">
        <v>382</v>
      </c>
      <c r="C128" s="76" t="s">
        <v>303</v>
      </c>
      <c r="D128" s="77">
        <v>39368</v>
      </c>
      <c r="E128" s="78">
        <v>112.0056</v>
      </c>
    </row>
    <row r="129" spans="1:5" x14ac:dyDescent="0.35">
      <c r="A129" s="75" t="s">
        <v>276</v>
      </c>
      <c r="B129" s="75" t="s">
        <v>383</v>
      </c>
      <c r="C129" s="76" t="s">
        <v>303</v>
      </c>
      <c r="D129" s="77">
        <v>39375</v>
      </c>
      <c r="E129" s="78">
        <v>112.3938</v>
      </c>
    </row>
    <row r="130" spans="1:5" x14ac:dyDescent="0.35">
      <c r="A130" s="75" t="s">
        <v>283</v>
      </c>
      <c r="B130" s="75" t="s">
        <v>384</v>
      </c>
      <c r="C130" s="76" t="s">
        <v>303</v>
      </c>
      <c r="D130" s="77">
        <v>39375</v>
      </c>
      <c r="E130" s="78">
        <v>114.4649</v>
      </c>
    </row>
    <row r="131" spans="1:5" x14ac:dyDescent="0.35">
      <c r="A131" s="75" t="s">
        <v>283</v>
      </c>
      <c r="B131" s="75" t="s">
        <v>385</v>
      </c>
      <c r="C131" s="76" t="s">
        <v>303</v>
      </c>
      <c r="D131" s="77">
        <v>39375</v>
      </c>
      <c r="E131" s="78">
        <v>124.4336</v>
      </c>
    </row>
    <row r="132" spans="1:5" x14ac:dyDescent="0.35">
      <c r="A132" s="75" t="s">
        <v>283</v>
      </c>
      <c r="B132" s="75" t="s">
        <v>348</v>
      </c>
      <c r="C132" s="76" t="s">
        <v>303</v>
      </c>
      <c r="D132" s="77">
        <v>39378</v>
      </c>
      <c r="E132" s="78">
        <v>124.3728</v>
      </c>
    </row>
    <row r="133" spans="1:5" x14ac:dyDescent="0.35">
      <c r="A133" s="75" t="s">
        <v>274</v>
      </c>
      <c r="B133" s="75" t="s">
        <v>386</v>
      </c>
      <c r="C133" s="76" t="s">
        <v>303</v>
      </c>
      <c r="D133" s="77">
        <v>39378</v>
      </c>
      <c r="E133" s="78">
        <v>107.97369999999999</v>
      </c>
    </row>
    <row r="134" spans="1:5" x14ac:dyDescent="0.35">
      <c r="A134" s="75" t="s">
        <v>274</v>
      </c>
      <c r="B134" s="75" t="s">
        <v>387</v>
      </c>
      <c r="C134" s="76" t="s">
        <v>303</v>
      </c>
      <c r="D134" s="77">
        <v>39381</v>
      </c>
      <c r="E134" s="78">
        <v>115.6814</v>
      </c>
    </row>
    <row r="135" spans="1:5" x14ac:dyDescent="0.35">
      <c r="A135" s="75" t="s">
        <v>274</v>
      </c>
      <c r="B135" s="75" t="s">
        <v>388</v>
      </c>
      <c r="C135" s="76" t="s">
        <v>303</v>
      </c>
      <c r="D135" s="77">
        <v>39382</v>
      </c>
      <c r="E135" s="78">
        <v>107.97369999999999</v>
      </c>
    </row>
    <row r="136" spans="1:5" x14ac:dyDescent="0.35">
      <c r="A136" s="75" t="s">
        <v>276</v>
      </c>
      <c r="B136" s="75" t="s">
        <v>389</v>
      </c>
      <c r="C136" s="76" t="s">
        <v>303</v>
      </c>
      <c r="D136" s="77">
        <v>39384</v>
      </c>
      <c r="E136" s="78">
        <v>124.32640000000001</v>
      </c>
    </row>
    <row r="137" spans="1:5" x14ac:dyDescent="0.35">
      <c r="A137" s="75" t="s">
        <v>283</v>
      </c>
      <c r="B137" s="75" t="s">
        <v>390</v>
      </c>
      <c r="C137" s="76" t="s">
        <v>303</v>
      </c>
      <c r="D137" s="77">
        <v>39392</v>
      </c>
      <c r="E137" s="78">
        <v>124.3728</v>
      </c>
    </row>
    <row r="138" spans="1:5" x14ac:dyDescent="0.35">
      <c r="A138" s="75" t="s">
        <v>274</v>
      </c>
      <c r="B138" s="75" t="s">
        <v>297</v>
      </c>
      <c r="C138" s="76" t="s">
        <v>303</v>
      </c>
      <c r="D138" s="77">
        <v>39397</v>
      </c>
      <c r="E138" s="78">
        <v>121.82380000000001</v>
      </c>
    </row>
    <row r="139" spans="1:5" x14ac:dyDescent="0.35">
      <c r="A139" s="75" t="s">
        <v>283</v>
      </c>
      <c r="B139" s="75" t="s">
        <v>376</v>
      </c>
      <c r="C139" s="76" t="s">
        <v>303</v>
      </c>
      <c r="D139" s="77">
        <v>39402</v>
      </c>
      <c r="E139" s="78">
        <v>119.64279999999999</v>
      </c>
    </row>
    <row r="140" spans="1:5" x14ac:dyDescent="0.35">
      <c r="A140" s="75" t="s">
        <v>283</v>
      </c>
      <c r="B140" s="75" t="s">
        <v>346</v>
      </c>
      <c r="C140" s="76" t="s">
        <v>303</v>
      </c>
      <c r="D140" s="77">
        <v>39410</v>
      </c>
      <c r="E140" s="78">
        <v>124.4336</v>
      </c>
    </row>
    <row r="141" spans="1:5" x14ac:dyDescent="0.35">
      <c r="A141" s="75" t="s">
        <v>283</v>
      </c>
      <c r="B141" s="75" t="s">
        <v>391</v>
      </c>
      <c r="C141" s="76" t="s">
        <v>303</v>
      </c>
      <c r="D141" s="77">
        <v>39412</v>
      </c>
      <c r="E141" s="78">
        <v>112.1285</v>
      </c>
    </row>
    <row r="142" spans="1:5" x14ac:dyDescent="0.35">
      <c r="A142" s="75" t="s">
        <v>276</v>
      </c>
      <c r="B142" s="75" t="s">
        <v>299</v>
      </c>
      <c r="C142" s="76" t="s">
        <v>303</v>
      </c>
      <c r="D142" s="77">
        <v>39418</v>
      </c>
      <c r="E142" s="78">
        <v>124.32640000000001</v>
      </c>
    </row>
    <row r="143" spans="1:5" x14ac:dyDescent="0.35">
      <c r="A143" s="75" t="s">
        <v>274</v>
      </c>
      <c r="B143" s="75" t="s">
        <v>392</v>
      </c>
      <c r="C143" s="76" t="s">
        <v>303</v>
      </c>
      <c r="D143" s="77">
        <v>39418</v>
      </c>
      <c r="E143" s="78">
        <v>115.6814</v>
      </c>
    </row>
    <row r="144" spans="1:5" x14ac:dyDescent="0.35">
      <c r="A144" s="75" t="s">
        <v>274</v>
      </c>
      <c r="B144" s="75" t="s">
        <v>393</v>
      </c>
      <c r="C144" s="76" t="s">
        <v>303</v>
      </c>
      <c r="D144" s="77">
        <v>39419</v>
      </c>
      <c r="E144" s="78">
        <v>115.6814</v>
      </c>
    </row>
    <row r="145" spans="1:5" x14ac:dyDescent="0.35">
      <c r="A145" s="75" t="s">
        <v>270</v>
      </c>
      <c r="B145" s="75" t="s">
        <v>394</v>
      </c>
      <c r="C145" s="76" t="s">
        <v>303</v>
      </c>
      <c r="D145" s="77">
        <v>39420</v>
      </c>
      <c r="E145" s="78">
        <v>124.29349999999999</v>
      </c>
    </row>
    <row r="146" spans="1:5" x14ac:dyDescent="0.35">
      <c r="A146" s="75" t="s">
        <v>276</v>
      </c>
      <c r="B146" s="75" t="s">
        <v>318</v>
      </c>
      <c r="C146" s="76" t="s">
        <v>303</v>
      </c>
      <c r="D146" s="77">
        <v>39420</v>
      </c>
      <c r="E146" s="78">
        <v>111.32640000000001</v>
      </c>
    </row>
    <row r="147" spans="1:5" x14ac:dyDescent="0.35">
      <c r="A147" s="75" t="s">
        <v>283</v>
      </c>
      <c r="B147" s="75" t="s">
        <v>395</v>
      </c>
      <c r="C147" s="76" t="s">
        <v>303</v>
      </c>
      <c r="D147" s="77">
        <v>39420</v>
      </c>
      <c r="E147" s="78">
        <v>124.4336</v>
      </c>
    </row>
    <row r="148" spans="1:5" x14ac:dyDescent="0.35">
      <c r="A148" s="75" t="s">
        <v>270</v>
      </c>
      <c r="B148" s="75" t="s">
        <v>315</v>
      </c>
      <c r="C148" s="76" t="s">
        <v>303</v>
      </c>
      <c r="D148" s="77">
        <v>39448</v>
      </c>
      <c r="E148" s="78">
        <v>119.38079999999999</v>
      </c>
    </row>
    <row r="149" spans="1:5" x14ac:dyDescent="0.35">
      <c r="A149" s="75" t="s">
        <v>270</v>
      </c>
      <c r="B149" s="75" t="s">
        <v>396</v>
      </c>
      <c r="C149" s="76" t="s">
        <v>397</v>
      </c>
      <c r="D149" s="77">
        <v>39089</v>
      </c>
      <c r="E149" s="78">
        <v>109.53230000000001</v>
      </c>
    </row>
    <row r="150" spans="1:5" x14ac:dyDescent="0.35">
      <c r="A150" s="75" t="s">
        <v>270</v>
      </c>
      <c r="B150" s="75" t="s">
        <v>398</v>
      </c>
      <c r="C150" s="76" t="s">
        <v>397</v>
      </c>
      <c r="D150" s="77">
        <v>39090</v>
      </c>
      <c r="E150" s="78">
        <v>142.5857</v>
      </c>
    </row>
    <row r="151" spans="1:5" x14ac:dyDescent="0.35">
      <c r="A151" s="75" t="s">
        <v>276</v>
      </c>
      <c r="B151" s="75" t="s">
        <v>399</v>
      </c>
      <c r="C151" s="76" t="s">
        <v>397</v>
      </c>
      <c r="D151" s="77">
        <v>39094</v>
      </c>
      <c r="E151" s="78">
        <v>123.67910000000001</v>
      </c>
    </row>
    <row r="152" spans="1:5" x14ac:dyDescent="0.35">
      <c r="A152" s="75" t="s">
        <v>276</v>
      </c>
      <c r="B152" s="75" t="s">
        <v>400</v>
      </c>
      <c r="C152" s="76" t="s">
        <v>397</v>
      </c>
      <c r="D152" s="77">
        <v>39096</v>
      </c>
      <c r="E152" s="78">
        <v>122.89019999999999</v>
      </c>
    </row>
    <row r="153" spans="1:5" x14ac:dyDescent="0.35">
      <c r="A153" s="75" t="s">
        <v>276</v>
      </c>
      <c r="B153" s="75" t="s">
        <v>401</v>
      </c>
      <c r="C153" s="76" t="s">
        <v>397</v>
      </c>
      <c r="D153" s="77">
        <v>39104</v>
      </c>
      <c r="E153" s="78">
        <v>121.1307</v>
      </c>
    </row>
    <row r="154" spans="1:5" x14ac:dyDescent="0.35">
      <c r="A154" s="75" t="s">
        <v>276</v>
      </c>
      <c r="B154" s="75" t="s">
        <v>402</v>
      </c>
      <c r="C154" s="76" t="s">
        <v>397</v>
      </c>
      <c r="D154" s="77">
        <v>39105</v>
      </c>
      <c r="E154" s="78">
        <v>138.51929999999999</v>
      </c>
    </row>
    <row r="155" spans="1:5" x14ac:dyDescent="0.35">
      <c r="A155" s="75" t="s">
        <v>270</v>
      </c>
      <c r="B155" s="75" t="s">
        <v>403</v>
      </c>
      <c r="C155" s="76" t="s">
        <v>397</v>
      </c>
      <c r="D155" s="77">
        <v>39112</v>
      </c>
      <c r="E155" s="78">
        <v>142.47020000000001</v>
      </c>
    </row>
    <row r="156" spans="1:5" x14ac:dyDescent="0.35">
      <c r="A156" s="75" t="s">
        <v>274</v>
      </c>
      <c r="B156" s="75" t="s">
        <v>404</v>
      </c>
      <c r="C156" s="76" t="s">
        <v>397</v>
      </c>
      <c r="D156" s="77">
        <v>39117</v>
      </c>
      <c r="E156" s="78">
        <v>139.1114</v>
      </c>
    </row>
    <row r="157" spans="1:5" x14ac:dyDescent="0.35">
      <c r="A157" s="75" t="s">
        <v>276</v>
      </c>
      <c r="B157" s="75" t="s">
        <v>399</v>
      </c>
      <c r="C157" s="76" t="s">
        <v>397</v>
      </c>
      <c r="D157" s="77">
        <v>39118</v>
      </c>
      <c r="E157" s="78">
        <v>123.67910000000001</v>
      </c>
    </row>
    <row r="158" spans="1:5" x14ac:dyDescent="0.35">
      <c r="A158" s="75" t="s">
        <v>276</v>
      </c>
      <c r="B158" s="75" t="s">
        <v>405</v>
      </c>
      <c r="C158" s="76" t="s">
        <v>397</v>
      </c>
      <c r="D158" s="77">
        <v>39118</v>
      </c>
      <c r="E158" s="78">
        <v>121.1307</v>
      </c>
    </row>
    <row r="159" spans="1:5" x14ac:dyDescent="0.35">
      <c r="A159" s="75" t="s">
        <v>276</v>
      </c>
      <c r="B159" s="75" t="s">
        <v>406</v>
      </c>
      <c r="C159" s="76" t="s">
        <v>397</v>
      </c>
      <c r="D159" s="77">
        <v>39122</v>
      </c>
      <c r="E159" s="78">
        <v>122.89019999999999</v>
      </c>
    </row>
    <row r="160" spans="1:5" x14ac:dyDescent="0.35">
      <c r="A160" s="75" t="s">
        <v>276</v>
      </c>
      <c r="B160" s="75" t="s">
        <v>407</v>
      </c>
      <c r="C160" s="76" t="s">
        <v>397</v>
      </c>
      <c r="D160" s="77">
        <v>39124</v>
      </c>
      <c r="E160" s="78">
        <v>123.67910000000001</v>
      </c>
    </row>
    <row r="161" spans="1:5" x14ac:dyDescent="0.35">
      <c r="A161" s="75" t="s">
        <v>270</v>
      </c>
      <c r="B161" s="75" t="s">
        <v>408</v>
      </c>
      <c r="C161" s="76" t="s">
        <v>397</v>
      </c>
      <c r="D161" s="77">
        <v>39124</v>
      </c>
      <c r="E161" s="78">
        <v>125.0718</v>
      </c>
    </row>
    <row r="162" spans="1:5" x14ac:dyDescent="0.35">
      <c r="A162" s="75" t="s">
        <v>276</v>
      </c>
      <c r="B162" s="75" t="s">
        <v>409</v>
      </c>
      <c r="C162" s="76" t="s">
        <v>397</v>
      </c>
      <c r="D162" s="77">
        <v>39125</v>
      </c>
      <c r="E162" s="78">
        <v>127.1681</v>
      </c>
    </row>
    <row r="163" spans="1:5" x14ac:dyDescent="0.35">
      <c r="A163" s="75" t="s">
        <v>274</v>
      </c>
      <c r="B163" s="75" t="s">
        <v>410</v>
      </c>
      <c r="C163" s="76" t="s">
        <v>397</v>
      </c>
      <c r="D163" s="77">
        <v>39125</v>
      </c>
      <c r="E163" s="78">
        <v>139.1114</v>
      </c>
    </row>
    <row r="164" spans="1:5" x14ac:dyDescent="0.35">
      <c r="A164" s="75" t="s">
        <v>270</v>
      </c>
      <c r="B164" s="75" t="s">
        <v>411</v>
      </c>
      <c r="C164" s="76" t="s">
        <v>397</v>
      </c>
      <c r="D164" s="77">
        <v>39126</v>
      </c>
      <c r="E164" s="78">
        <v>109.53230000000001</v>
      </c>
    </row>
    <row r="165" spans="1:5" x14ac:dyDescent="0.35">
      <c r="A165" s="75" t="s">
        <v>276</v>
      </c>
      <c r="B165" s="75" t="s">
        <v>412</v>
      </c>
      <c r="C165" s="76" t="s">
        <v>397</v>
      </c>
      <c r="D165" s="77">
        <v>39130</v>
      </c>
      <c r="E165" s="78">
        <v>122.89019999999999</v>
      </c>
    </row>
    <row r="166" spans="1:5" x14ac:dyDescent="0.35">
      <c r="A166" s="75" t="s">
        <v>276</v>
      </c>
      <c r="B166" s="75" t="s">
        <v>413</v>
      </c>
      <c r="C166" s="76" t="s">
        <v>397</v>
      </c>
      <c r="D166" s="77">
        <v>39130</v>
      </c>
      <c r="E166" s="78">
        <v>121.1307</v>
      </c>
    </row>
    <row r="167" spans="1:5" x14ac:dyDescent="0.35">
      <c r="A167" s="75" t="s">
        <v>276</v>
      </c>
      <c r="B167" s="75" t="s">
        <v>414</v>
      </c>
      <c r="C167" s="76" t="s">
        <v>397</v>
      </c>
      <c r="D167" s="77">
        <v>39131</v>
      </c>
      <c r="E167" s="78">
        <v>121.1307</v>
      </c>
    </row>
    <row r="168" spans="1:5" x14ac:dyDescent="0.35">
      <c r="A168" s="75" t="s">
        <v>283</v>
      </c>
      <c r="B168" s="75" t="s">
        <v>415</v>
      </c>
      <c r="C168" s="76" t="s">
        <v>397</v>
      </c>
      <c r="D168" s="77">
        <v>39132</v>
      </c>
      <c r="E168" s="78">
        <v>145.02260000000001</v>
      </c>
    </row>
    <row r="169" spans="1:5" x14ac:dyDescent="0.35">
      <c r="A169" s="75" t="s">
        <v>283</v>
      </c>
      <c r="B169" s="75" t="s">
        <v>416</v>
      </c>
      <c r="C169" s="76" t="s">
        <v>397</v>
      </c>
      <c r="D169" s="77">
        <v>39133</v>
      </c>
      <c r="E169" s="78">
        <v>155.43700000000001</v>
      </c>
    </row>
    <row r="170" spans="1:5" x14ac:dyDescent="0.35">
      <c r="A170" s="75" t="s">
        <v>276</v>
      </c>
      <c r="B170" s="75" t="s">
        <v>406</v>
      </c>
      <c r="C170" s="76" t="s">
        <v>397</v>
      </c>
      <c r="D170" s="77">
        <v>39136</v>
      </c>
      <c r="E170" s="78">
        <v>122.89019999999999</v>
      </c>
    </row>
    <row r="171" spans="1:5" x14ac:dyDescent="0.35">
      <c r="A171" s="75" t="s">
        <v>276</v>
      </c>
      <c r="B171" s="75" t="s">
        <v>417</v>
      </c>
      <c r="C171" s="76" t="s">
        <v>397</v>
      </c>
      <c r="D171" s="77">
        <v>39136</v>
      </c>
      <c r="E171" s="78">
        <v>157.5171</v>
      </c>
    </row>
    <row r="172" spans="1:5" x14ac:dyDescent="0.35">
      <c r="A172" s="75" t="s">
        <v>276</v>
      </c>
      <c r="B172" s="75" t="s">
        <v>418</v>
      </c>
      <c r="C172" s="76" t="s">
        <v>397</v>
      </c>
      <c r="D172" s="77">
        <v>39137</v>
      </c>
      <c r="E172" s="78">
        <v>136.4366</v>
      </c>
    </row>
    <row r="173" spans="1:5" x14ac:dyDescent="0.35">
      <c r="A173" s="75" t="s">
        <v>276</v>
      </c>
      <c r="B173" s="75" t="s">
        <v>419</v>
      </c>
      <c r="C173" s="76" t="s">
        <v>397</v>
      </c>
      <c r="D173" s="77">
        <v>39137</v>
      </c>
      <c r="E173" s="78">
        <v>121.1307</v>
      </c>
    </row>
    <row r="174" spans="1:5" x14ac:dyDescent="0.35">
      <c r="A174" s="75" t="s">
        <v>283</v>
      </c>
      <c r="B174" s="75" t="s">
        <v>420</v>
      </c>
      <c r="C174" s="76" t="s">
        <v>397</v>
      </c>
      <c r="D174" s="77">
        <v>39139</v>
      </c>
      <c r="E174" s="78">
        <v>157.822</v>
      </c>
    </row>
    <row r="175" spans="1:5" x14ac:dyDescent="0.35">
      <c r="A175" s="75" t="s">
        <v>270</v>
      </c>
      <c r="B175" s="75" t="s">
        <v>421</v>
      </c>
      <c r="C175" s="76" t="s">
        <v>397</v>
      </c>
      <c r="D175" s="77">
        <v>39139</v>
      </c>
      <c r="E175" s="78">
        <v>110.79219999999999</v>
      </c>
    </row>
    <row r="176" spans="1:5" x14ac:dyDescent="0.35">
      <c r="A176" s="75" t="s">
        <v>276</v>
      </c>
      <c r="B176" s="75" t="s">
        <v>422</v>
      </c>
      <c r="C176" s="76" t="s">
        <v>397</v>
      </c>
      <c r="D176" s="77">
        <v>39140</v>
      </c>
      <c r="E176" s="78">
        <v>158.60230000000001</v>
      </c>
    </row>
    <row r="177" spans="1:5" x14ac:dyDescent="0.35">
      <c r="A177" s="75" t="s">
        <v>276</v>
      </c>
      <c r="B177" s="75" t="s">
        <v>423</v>
      </c>
      <c r="C177" s="76" t="s">
        <v>397</v>
      </c>
      <c r="D177" s="77">
        <v>39140</v>
      </c>
      <c r="E177" s="78">
        <v>157.5171</v>
      </c>
    </row>
    <row r="178" spans="1:5" x14ac:dyDescent="0.35">
      <c r="A178" s="75" t="s">
        <v>276</v>
      </c>
      <c r="B178" s="75" t="s">
        <v>424</v>
      </c>
      <c r="C178" s="76" t="s">
        <v>397</v>
      </c>
      <c r="D178" s="77">
        <v>39144</v>
      </c>
      <c r="E178" s="78">
        <v>123.67910000000001</v>
      </c>
    </row>
    <row r="179" spans="1:5" x14ac:dyDescent="0.35">
      <c r="A179" s="75" t="s">
        <v>283</v>
      </c>
      <c r="B179" s="75" t="s">
        <v>425</v>
      </c>
      <c r="C179" s="76" t="s">
        <v>397</v>
      </c>
      <c r="D179" s="77">
        <v>39146</v>
      </c>
      <c r="E179" s="78">
        <v>161.15479999999999</v>
      </c>
    </row>
    <row r="180" spans="1:5" x14ac:dyDescent="0.35">
      <c r="A180" s="75" t="s">
        <v>276</v>
      </c>
      <c r="B180" s="75" t="s">
        <v>320</v>
      </c>
      <c r="C180" s="76" t="s">
        <v>397</v>
      </c>
      <c r="D180" s="77">
        <v>39147</v>
      </c>
      <c r="E180" s="78">
        <v>157.5171</v>
      </c>
    </row>
    <row r="181" spans="1:5" x14ac:dyDescent="0.35">
      <c r="A181" s="75" t="s">
        <v>276</v>
      </c>
      <c r="B181" s="75" t="s">
        <v>426</v>
      </c>
      <c r="C181" s="76" t="s">
        <v>397</v>
      </c>
      <c r="D181" s="77">
        <v>39153</v>
      </c>
      <c r="E181" s="78">
        <v>158.60230000000001</v>
      </c>
    </row>
    <row r="182" spans="1:5" x14ac:dyDescent="0.35">
      <c r="A182" s="75" t="s">
        <v>283</v>
      </c>
      <c r="B182" s="75" t="s">
        <v>427</v>
      </c>
      <c r="C182" s="76" t="s">
        <v>397</v>
      </c>
      <c r="D182" s="77">
        <v>39157</v>
      </c>
      <c r="E182" s="78">
        <v>141.33619999999999</v>
      </c>
    </row>
    <row r="183" spans="1:5" x14ac:dyDescent="0.35">
      <c r="A183" s="75" t="s">
        <v>276</v>
      </c>
      <c r="B183" s="75" t="s">
        <v>428</v>
      </c>
      <c r="C183" s="76" t="s">
        <v>397</v>
      </c>
      <c r="D183" s="77">
        <v>39159</v>
      </c>
      <c r="E183" s="78">
        <v>138.24</v>
      </c>
    </row>
    <row r="184" spans="1:5" x14ac:dyDescent="0.35">
      <c r="A184" s="75" t="s">
        <v>276</v>
      </c>
      <c r="B184" s="75" t="s">
        <v>429</v>
      </c>
      <c r="C184" s="76" t="s">
        <v>397</v>
      </c>
      <c r="D184" s="77">
        <v>39165</v>
      </c>
      <c r="E184" s="78">
        <v>122.89019999999999</v>
      </c>
    </row>
    <row r="185" spans="1:5" x14ac:dyDescent="0.35">
      <c r="A185" s="75" t="s">
        <v>276</v>
      </c>
      <c r="B185" s="75" t="s">
        <v>372</v>
      </c>
      <c r="C185" s="76" t="s">
        <v>397</v>
      </c>
      <c r="D185" s="77">
        <v>39166</v>
      </c>
      <c r="E185" s="78">
        <v>157.5171</v>
      </c>
    </row>
    <row r="186" spans="1:5" x14ac:dyDescent="0.35">
      <c r="A186" s="75" t="s">
        <v>283</v>
      </c>
      <c r="B186" s="75" t="s">
        <v>327</v>
      </c>
      <c r="C186" s="76" t="s">
        <v>397</v>
      </c>
      <c r="D186" s="77">
        <v>39167</v>
      </c>
      <c r="E186" s="78">
        <v>157.9188</v>
      </c>
    </row>
    <row r="187" spans="1:5" x14ac:dyDescent="0.35">
      <c r="A187" s="75" t="s">
        <v>276</v>
      </c>
      <c r="B187" s="75" t="s">
        <v>430</v>
      </c>
      <c r="C187" s="76" t="s">
        <v>397</v>
      </c>
      <c r="D187" s="77">
        <v>39172</v>
      </c>
      <c r="E187" s="78">
        <v>138.24</v>
      </c>
    </row>
    <row r="188" spans="1:5" x14ac:dyDescent="0.35">
      <c r="A188" s="75" t="s">
        <v>274</v>
      </c>
      <c r="B188" s="75" t="s">
        <v>431</v>
      </c>
      <c r="C188" s="76" t="s">
        <v>397</v>
      </c>
      <c r="D188" s="77">
        <v>39172</v>
      </c>
      <c r="E188" s="78">
        <v>150.67850000000001</v>
      </c>
    </row>
    <row r="189" spans="1:5" x14ac:dyDescent="0.35">
      <c r="A189" s="75" t="s">
        <v>276</v>
      </c>
      <c r="B189" s="75" t="s">
        <v>432</v>
      </c>
      <c r="C189" s="76" t="s">
        <v>397</v>
      </c>
      <c r="D189" s="77">
        <v>39173</v>
      </c>
      <c r="E189" s="78">
        <v>123.67910000000001</v>
      </c>
    </row>
    <row r="190" spans="1:5" x14ac:dyDescent="0.35">
      <c r="A190" s="75" t="s">
        <v>270</v>
      </c>
      <c r="B190" s="75" t="s">
        <v>433</v>
      </c>
      <c r="C190" s="76" t="s">
        <v>397</v>
      </c>
      <c r="D190" s="77">
        <v>39173</v>
      </c>
      <c r="E190" s="78">
        <v>117.8608</v>
      </c>
    </row>
    <row r="191" spans="1:5" x14ac:dyDescent="0.35">
      <c r="A191" s="75" t="s">
        <v>283</v>
      </c>
      <c r="B191" s="75" t="s">
        <v>434</v>
      </c>
      <c r="C191" s="76" t="s">
        <v>397</v>
      </c>
      <c r="D191" s="77">
        <v>39175</v>
      </c>
      <c r="E191" s="78">
        <v>155.43700000000001</v>
      </c>
    </row>
    <row r="192" spans="1:5" x14ac:dyDescent="0.35">
      <c r="A192" s="75" t="s">
        <v>283</v>
      </c>
      <c r="B192" s="75" t="s">
        <v>359</v>
      </c>
      <c r="C192" s="76" t="s">
        <v>397</v>
      </c>
      <c r="D192" s="77">
        <v>39180</v>
      </c>
      <c r="E192" s="78">
        <v>149.3853</v>
      </c>
    </row>
    <row r="193" spans="1:5" x14ac:dyDescent="0.35">
      <c r="A193" s="75" t="s">
        <v>276</v>
      </c>
      <c r="B193" s="75" t="s">
        <v>435</v>
      </c>
      <c r="C193" s="76" t="s">
        <v>397</v>
      </c>
      <c r="D193" s="77">
        <v>39180</v>
      </c>
      <c r="E193" s="78">
        <v>122.89019999999999</v>
      </c>
    </row>
    <row r="194" spans="1:5" x14ac:dyDescent="0.35">
      <c r="A194" s="75" t="s">
        <v>276</v>
      </c>
      <c r="B194" s="75" t="s">
        <v>436</v>
      </c>
      <c r="C194" s="76" t="s">
        <v>397</v>
      </c>
      <c r="D194" s="77">
        <v>39181</v>
      </c>
      <c r="E194" s="78">
        <v>123.67910000000001</v>
      </c>
    </row>
    <row r="195" spans="1:5" x14ac:dyDescent="0.35">
      <c r="A195" s="75" t="s">
        <v>276</v>
      </c>
      <c r="B195" s="75" t="s">
        <v>437</v>
      </c>
      <c r="C195" s="76" t="s">
        <v>397</v>
      </c>
      <c r="D195" s="77">
        <v>39182</v>
      </c>
      <c r="E195" s="78">
        <v>121.1307</v>
      </c>
    </row>
    <row r="196" spans="1:5" x14ac:dyDescent="0.35">
      <c r="A196" s="75" t="s">
        <v>270</v>
      </c>
      <c r="B196" s="75" t="s">
        <v>438</v>
      </c>
      <c r="C196" s="76" t="s">
        <v>397</v>
      </c>
      <c r="D196" s="77">
        <v>39185</v>
      </c>
      <c r="E196" s="78">
        <v>156.3133</v>
      </c>
    </row>
    <row r="197" spans="1:5" x14ac:dyDescent="0.35">
      <c r="A197" s="75" t="s">
        <v>274</v>
      </c>
      <c r="B197" s="75" t="s">
        <v>439</v>
      </c>
      <c r="C197" s="76" t="s">
        <v>397</v>
      </c>
      <c r="D197" s="77">
        <v>39186</v>
      </c>
      <c r="E197" s="78">
        <v>150.67850000000001</v>
      </c>
    </row>
    <row r="198" spans="1:5" x14ac:dyDescent="0.35">
      <c r="A198" s="75" t="s">
        <v>274</v>
      </c>
      <c r="B198" s="75" t="s">
        <v>275</v>
      </c>
      <c r="C198" s="76" t="s">
        <v>397</v>
      </c>
      <c r="D198" s="77">
        <v>39188</v>
      </c>
      <c r="E198" s="78">
        <v>129.91820000000001</v>
      </c>
    </row>
    <row r="199" spans="1:5" x14ac:dyDescent="0.35">
      <c r="A199" s="75" t="s">
        <v>270</v>
      </c>
      <c r="B199" s="75" t="s">
        <v>403</v>
      </c>
      <c r="C199" s="76" t="s">
        <v>397</v>
      </c>
      <c r="D199" s="77">
        <v>39189</v>
      </c>
      <c r="E199" s="78">
        <v>142.47020000000001</v>
      </c>
    </row>
    <row r="200" spans="1:5" x14ac:dyDescent="0.35">
      <c r="A200" s="75" t="s">
        <v>276</v>
      </c>
      <c r="B200" s="75" t="s">
        <v>401</v>
      </c>
      <c r="C200" s="76" t="s">
        <v>397</v>
      </c>
      <c r="D200" s="77">
        <v>39189</v>
      </c>
      <c r="E200" s="78">
        <v>121.1307</v>
      </c>
    </row>
    <row r="201" spans="1:5" x14ac:dyDescent="0.35">
      <c r="A201" s="75" t="s">
        <v>276</v>
      </c>
      <c r="B201" s="75" t="s">
        <v>440</v>
      </c>
      <c r="C201" s="76" t="s">
        <v>397</v>
      </c>
      <c r="D201" s="77">
        <v>39192</v>
      </c>
      <c r="E201" s="78">
        <v>122.89019999999999</v>
      </c>
    </row>
    <row r="202" spans="1:5" x14ac:dyDescent="0.35">
      <c r="A202" s="75" t="s">
        <v>283</v>
      </c>
      <c r="B202" s="75" t="s">
        <v>441</v>
      </c>
      <c r="C202" s="76" t="s">
        <v>397</v>
      </c>
      <c r="D202" s="77">
        <v>39195</v>
      </c>
      <c r="E202" s="78">
        <v>157.9188</v>
      </c>
    </row>
    <row r="203" spans="1:5" x14ac:dyDescent="0.35">
      <c r="A203" s="75" t="s">
        <v>283</v>
      </c>
      <c r="B203" s="75" t="s">
        <v>442</v>
      </c>
      <c r="C203" s="76" t="s">
        <v>397</v>
      </c>
      <c r="D203" s="77">
        <v>39195</v>
      </c>
      <c r="E203" s="78">
        <v>161.15479999999999</v>
      </c>
    </row>
    <row r="204" spans="1:5" x14ac:dyDescent="0.35">
      <c r="A204" s="75" t="s">
        <v>276</v>
      </c>
      <c r="B204" s="75" t="s">
        <v>443</v>
      </c>
      <c r="C204" s="76" t="s">
        <v>397</v>
      </c>
      <c r="D204" s="77">
        <v>39196</v>
      </c>
      <c r="E204" s="78">
        <v>123.67910000000001</v>
      </c>
    </row>
    <row r="205" spans="1:5" x14ac:dyDescent="0.35">
      <c r="A205" s="75" t="s">
        <v>276</v>
      </c>
      <c r="B205" s="75" t="s">
        <v>429</v>
      </c>
      <c r="C205" s="76" t="s">
        <v>397</v>
      </c>
      <c r="D205" s="77">
        <v>39196</v>
      </c>
      <c r="E205" s="78">
        <v>122.89019999999999</v>
      </c>
    </row>
    <row r="206" spans="1:5" x14ac:dyDescent="0.35">
      <c r="A206" s="75" t="s">
        <v>270</v>
      </c>
      <c r="B206" s="75" t="s">
        <v>444</v>
      </c>
      <c r="C206" s="76" t="s">
        <v>397</v>
      </c>
      <c r="D206" s="77">
        <v>39196</v>
      </c>
      <c r="E206" s="78">
        <v>117.8608</v>
      </c>
    </row>
    <row r="207" spans="1:5" x14ac:dyDescent="0.35">
      <c r="A207" s="75" t="s">
        <v>276</v>
      </c>
      <c r="B207" s="75" t="s">
        <v>445</v>
      </c>
      <c r="C207" s="76" t="s">
        <v>397</v>
      </c>
      <c r="D207" s="77">
        <v>39196</v>
      </c>
      <c r="E207" s="78">
        <v>157.5171</v>
      </c>
    </row>
    <row r="208" spans="1:5" x14ac:dyDescent="0.35">
      <c r="A208" s="75" t="s">
        <v>283</v>
      </c>
      <c r="B208" s="75" t="s">
        <v>317</v>
      </c>
      <c r="C208" s="76" t="s">
        <v>397</v>
      </c>
      <c r="D208" s="77">
        <v>39201</v>
      </c>
      <c r="E208" s="78">
        <v>178.99520000000001</v>
      </c>
    </row>
    <row r="209" spans="1:5" x14ac:dyDescent="0.35">
      <c r="A209" s="75" t="s">
        <v>270</v>
      </c>
      <c r="B209" s="75" t="s">
        <v>446</v>
      </c>
      <c r="C209" s="76" t="s">
        <v>397</v>
      </c>
      <c r="D209" s="77">
        <v>39202</v>
      </c>
      <c r="E209" s="78">
        <v>125.0718</v>
      </c>
    </row>
    <row r="210" spans="1:5" x14ac:dyDescent="0.35">
      <c r="A210" s="75" t="s">
        <v>274</v>
      </c>
      <c r="B210" s="75" t="s">
        <v>447</v>
      </c>
      <c r="C210" s="76" t="s">
        <v>397</v>
      </c>
      <c r="D210" s="77">
        <v>39202</v>
      </c>
      <c r="E210" s="78">
        <v>142.50970000000001</v>
      </c>
    </row>
    <row r="211" spans="1:5" x14ac:dyDescent="0.35">
      <c r="A211" s="75" t="s">
        <v>274</v>
      </c>
      <c r="B211" s="75" t="s">
        <v>448</v>
      </c>
      <c r="C211" s="76" t="s">
        <v>397</v>
      </c>
      <c r="D211" s="77">
        <v>39203</v>
      </c>
      <c r="E211" s="78">
        <v>145.00890000000001</v>
      </c>
    </row>
    <row r="212" spans="1:5" x14ac:dyDescent="0.35">
      <c r="A212" s="75" t="s">
        <v>276</v>
      </c>
      <c r="B212" s="75" t="s">
        <v>449</v>
      </c>
      <c r="C212" s="76" t="s">
        <v>397</v>
      </c>
      <c r="D212" s="77">
        <v>39206</v>
      </c>
      <c r="E212" s="78">
        <v>137.0196</v>
      </c>
    </row>
    <row r="213" spans="1:5" x14ac:dyDescent="0.35">
      <c r="A213" s="75" t="s">
        <v>274</v>
      </c>
      <c r="B213" s="75" t="s">
        <v>450</v>
      </c>
      <c r="C213" s="76" t="s">
        <v>397</v>
      </c>
      <c r="D213" s="77">
        <v>39206</v>
      </c>
      <c r="E213" s="78">
        <v>150.67850000000001</v>
      </c>
    </row>
    <row r="214" spans="1:5" x14ac:dyDescent="0.35">
      <c r="A214" s="75" t="s">
        <v>270</v>
      </c>
      <c r="B214" s="75" t="s">
        <v>451</v>
      </c>
      <c r="C214" s="76" t="s">
        <v>397</v>
      </c>
      <c r="D214" s="77">
        <v>39208</v>
      </c>
      <c r="E214" s="78">
        <v>146.52520000000001</v>
      </c>
    </row>
    <row r="215" spans="1:5" x14ac:dyDescent="0.35">
      <c r="A215" s="75" t="s">
        <v>276</v>
      </c>
      <c r="B215" s="75" t="s">
        <v>452</v>
      </c>
      <c r="C215" s="76" t="s">
        <v>397</v>
      </c>
      <c r="D215" s="77">
        <v>39208</v>
      </c>
      <c r="E215" s="78">
        <v>158.60230000000001</v>
      </c>
    </row>
    <row r="216" spans="1:5" x14ac:dyDescent="0.35">
      <c r="A216" s="75" t="s">
        <v>276</v>
      </c>
      <c r="B216" s="75" t="s">
        <v>453</v>
      </c>
      <c r="C216" s="76" t="s">
        <v>397</v>
      </c>
      <c r="D216" s="77">
        <v>39208</v>
      </c>
      <c r="E216" s="78">
        <v>157.5171</v>
      </c>
    </row>
    <row r="217" spans="1:5" x14ac:dyDescent="0.35">
      <c r="A217" s="75" t="s">
        <v>276</v>
      </c>
      <c r="B217" s="75" t="s">
        <v>454</v>
      </c>
      <c r="C217" s="76" t="s">
        <v>397</v>
      </c>
      <c r="D217" s="77">
        <v>39210</v>
      </c>
      <c r="E217" s="78">
        <v>157.5171</v>
      </c>
    </row>
    <row r="218" spans="1:5" x14ac:dyDescent="0.35">
      <c r="A218" s="75" t="s">
        <v>283</v>
      </c>
      <c r="B218" s="75" t="s">
        <v>317</v>
      </c>
      <c r="C218" s="76" t="s">
        <v>397</v>
      </c>
      <c r="D218" s="77">
        <v>39213</v>
      </c>
      <c r="E218" s="78">
        <v>178.99520000000001</v>
      </c>
    </row>
    <row r="219" spans="1:5" x14ac:dyDescent="0.35">
      <c r="A219" s="75" t="s">
        <v>283</v>
      </c>
      <c r="B219" s="75" t="s">
        <v>455</v>
      </c>
      <c r="C219" s="76" t="s">
        <v>397</v>
      </c>
      <c r="D219" s="77">
        <v>39214</v>
      </c>
      <c r="E219" s="78">
        <v>157.9188</v>
      </c>
    </row>
    <row r="220" spans="1:5" x14ac:dyDescent="0.35">
      <c r="A220" s="75" t="s">
        <v>283</v>
      </c>
      <c r="B220" s="75" t="s">
        <v>456</v>
      </c>
      <c r="C220" s="76" t="s">
        <v>397</v>
      </c>
      <c r="D220" s="77">
        <v>39220</v>
      </c>
      <c r="E220" s="78">
        <v>149.3853</v>
      </c>
    </row>
    <row r="221" spans="1:5" x14ac:dyDescent="0.35">
      <c r="A221" s="75" t="s">
        <v>276</v>
      </c>
      <c r="B221" s="75" t="s">
        <v>457</v>
      </c>
      <c r="C221" s="76" t="s">
        <v>397</v>
      </c>
      <c r="D221" s="77">
        <v>39221</v>
      </c>
      <c r="E221" s="78">
        <v>122.89019999999999</v>
      </c>
    </row>
    <row r="222" spans="1:5" x14ac:dyDescent="0.35">
      <c r="A222" s="75" t="s">
        <v>283</v>
      </c>
      <c r="B222" s="75" t="s">
        <v>312</v>
      </c>
      <c r="C222" s="76" t="s">
        <v>397</v>
      </c>
      <c r="D222" s="77">
        <v>39221</v>
      </c>
      <c r="E222" s="78">
        <v>161.15479999999999</v>
      </c>
    </row>
    <row r="223" spans="1:5" x14ac:dyDescent="0.35">
      <c r="A223" s="75" t="s">
        <v>270</v>
      </c>
      <c r="B223" s="75" t="s">
        <v>458</v>
      </c>
      <c r="C223" s="76" t="s">
        <v>397</v>
      </c>
      <c r="D223" s="77">
        <v>39222</v>
      </c>
      <c r="E223" s="78">
        <v>109.53230000000001</v>
      </c>
    </row>
    <row r="224" spans="1:5" x14ac:dyDescent="0.35">
      <c r="A224" s="75" t="s">
        <v>270</v>
      </c>
      <c r="B224" s="75" t="s">
        <v>459</v>
      </c>
      <c r="C224" s="76" t="s">
        <v>397</v>
      </c>
      <c r="D224" s="77">
        <v>39224</v>
      </c>
      <c r="E224" s="78">
        <v>125.0718</v>
      </c>
    </row>
    <row r="225" spans="1:5" x14ac:dyDescent="0.35">
      <c r="A225" s="75" t="s">
        <v>274</v>
      </c>
      <c r="B225" s="75" t="s">
        <v>410</v>
      </c>
      <c r="C225" s="76" t="s">
        <v>397</v>
      </c>
      <c r="D225" s="77">
        <v>39230</v>
      </c>
      <c r="E225" s="78">
        <v>139.1114</v>
      </c>
    </row>
    <row r="226" spans="1:5" x14ac:dyDescent="0.35">
      <c r="A226" s="75" t="s">
        <v>276</v>
      </c>
      <c r="B226" s="75" t="s">
        <v>320</v>
      </c>
      <c r="C226" s="76" t="s">
        <v>397</v>
      </c>
      <c r="D226" s="77">
        <v>39231</v>
      </c>
      <c r="E226" s="78">
        <v>157.5171</v>
      </c>
    </row>
    <row r="227" spans="1:5" x14ac:dyDescent="0.35">
      <c r="A227" s="75" t="s">
        <v>276</v>
      </c>
      <c r="B227" s="75" t="s">
        <v>460</v>
      </c>
      <c r="C227" s="76" t="s">
        <v>397</v>
      </c>
      <c r="D227" s="77">
        <v>39234</v>
      </c>
      <c r="E227" s="78">
        <v>126.3828</v>
      </c>
    </row>
    <row r="228" spans="1:5" x14ac:dyDescent="0.35">
      <c r="A228" s="75" t="s">
        <v>270</v>
      </c>
      <c r="B228" s="75" t="s">
        <v>403</v>
      </c>
      <c r="C228" s="76" t="s">
        <v>397</v>
      </c>
      <c r="D228" s="77">
        <v>39241</v>
      </c>
      <c r="E228" s="78">
        <v>142.47020000000001</v>
      </c>
    </row>
    <row r="229" spans="1:5" x14ac:dyDescent="0.35">
      <c r="A229" s="75" t="s">
        <v>283</v>
      </c>
      <c r="B229" s="75" t="s">
        <v>461</v>
      </c>
      <c r="C229" s="76" t="s">
        <v>397</v>
      </c>
      <c r="D229" s="77">
        <v>39241</v>
      </c>
      <c r="E229" s="78">
        <v>161.15479999999999</v>
      </c>
    </row>
    <row r="230" spans="1:5" x14ac:dyDescent="0.35">
      <c r="A230" s="75" t="s">
        <v>283</v>
      </c>
      <c r="B230" s="75" t="s">
        <v>462</v>
      </c>
      <c r="C230" s="76" t="s">
        <v>397</v>
      </c>
      <c r="D230" s="77">
        <v>39243</v>
      </c>
      <c r="E230" s="78">
        <v>145.02260000000001</v>
      </c>
    </row>
    <row r="231" spans="1:5" x14ac:dyDescent="0.35">
      <c r="A231" s="75" t="s">
        <v>274</v>
      </c>
      <c r="B231" s="75" t="s">
        <v>463</v>
      </c>
      <c r="C231" s="76" t="s">
        <v>397</v>
      </c>
      <c r="D231" s="77">
        <v>39243</v>
      </c>
      <c r="E231" s="78">
        <v>150.67850000000001</v>
      </c>
    </row>
    <row r="232" spans="1:5" x14ac:dyDescent="0.35">
      <c r="A232" s="75" t="s">
        <v>276</v>
      </c>
      <c r="B232" s="75" t="s">
        <v>318</v>
      </c>
      <c r="C232" s="76" t="s">
        <v>397</v>
      </c>
      <c r="D232" s="77">
        <v>39244</v>
      </c>
      <c r="E232" s="78">
        <v>138.51929999999999</v>
      </c>
    </row>
    <row r="233" spans="1:5" x14ac:dyDescent="0.35">
      <c r="A233" s="75" t="s">
        <v>270</v>
      </c>
      <c r="B233" s="75" t="s">
        <v>464</v>
      </c>
      <c r="C233" s="76" t="s">
        <v>397</v>
      </c>
      <c r="D233" s="77">
        <v>39248</v>
      </c>
      <c r="E233" s="78">
        <v>125.0718</v>
      </c>
    </row>
    <row r="234" spans="1:5" x14ac:dyDescent="0.35">
      <c r="A234" s="75" t="s">
        <v>283</v>
      </c>
      <c r="B234" s="75" t="s">
        <v>346</v>
      </c>
      <c r="C234" s="76" t="s">
        <v>397</v>
      </c>
      <c r="D234" s="77">
        <v>39249</v>
      </c>
      <c r="E234" s="78">
        <v>157.9188</v>
      </c>
    </row>
    <row r="235" spans="1:5" x14ac:dyDescent="0.35">
      <c r="A235" s="75" t="s">
        <v>276</v>
      </c>
      <c r="B235" s="75" t="s">
        <v>465</v>
      </c>
      <c r="C235" s="76" t="s">
        <v>397</v>
      </c>
      <c r="D235" s="77">
        <v>39249</v>
      </c>
      <c r="E235" s="78">
        <v>157.5171</v>
      </c>
    </row>
    <row r="236" spans="1:5" x14ac:dyDescent="0.35">
      <c r="A236" s="75" t="s">
        <v>274</v>
      </c>
      <c r="B236" s="75" t="s">
        <v>275</v>
      </c>
      <c r="C236" s="76" t="s">
        <v>397</v>
      </c>
      <c r="D236" s="77">
        <v>39249</v>
      </c>
      <c r="E236" s="78">
        <v>129.91820000000001</v>
      </c>
    </row>
    <row r="237" spans="1:5" x14ac:dyDescent="0.35">
      <c r="A237" s="75" t="s">
        <v>270</v>
      </c>
      <c r="B237" s="75" t="s">
        <v>315</v>
      </c>
      <c r="C237" s="76" t="s">
        <v>397</v>
      </c>
      <c r="D237" s="77">
        <v>39250</v>
      </c>
      <c r="E237" s="78">
        <v>156.3133</v>
      </c>
    </row>
    <row r="238" spans="1:5" x14ac:dyDescent="0.35">
      <c r="A238" s="75" t="s">
        <v>276</v>
      </c>
      <c r="B238" s="75" t="s">
        <v>343</v>
      </c>
      <c r="C238" s="76" t="s">
        <v>397</v>
      </c>
      <c r="D238" s="77">
        <v>39252</v>
      </c>
      <c r="E238" s="78">
        <v>138.24</v>
      </c>
    </row>
    <row r="239" spans="1:5" x14ac:dyDescent="0.35">
      <c r="A239" s="75" t="s">
        <v>283</v>
      </c>
      <c r="B239" s="75" t="s">
        <v>466</v>
      </c>
      <c r="C239" s="76" t="s">
        <v>397</v>
      </c>
      <c r="D239" s="77">
        <v>39273</v>
      </c>
      <c r="E239" s="78">
        <v>178.99520000000001</v>
      </c>
    </row>
    <row r="240" spans="1:5" x14ac:dyDescent="0.35">
      <c r="A240" s="75" t="s">
        <v>276</v>
      </c>
      <c r="B240" s="75" t="s">
        <v>467</v>
      </c>
      <c r="C240" s="76" t="s">
        <v>397</v>
      </c>
      <c r="D240" s="77">
        <v>39276</v>
      </c>
      <c r="E240" s="78">
        <v>138.51929999999999</v>
      </c>
    </row>
    <row r="241" spans="1:5" x14ac:dyDescent="0.35">
      <c r="A241" s="75" t="s">
        <v>276</v>
      </c>
      <c r="B241" s="75" t="s">
        <v>468</v>
      </c>
      <c r="C241" s="76" t="s">
        <v>397</v>
      </c>
      <c r="D241" s="77">
        <v>39278</v>
      </c>
      <c r="E241" s="78">
        <v>137.0196</v>
      </c>
    </row>
    <row r="242" spans="1:5" x14ac:dyDescent="0.35">
      <c r="A242" s="75" t="s">
        <v>276</v>
      </c>
      <c r="B242" s="75" t="s">
        <v>469</v>
      </c>
      <c r="C242" s="76" t="s">
        <v>397</v>
      </c>
      <c r="D242" s="77">
        <v>39280</v>
      </c>
      <c r="E242" s="78">
        <v>136.4366</v>
      </c>
    </row>
    <row r="243" spans="1:5" x14ac:dyDescent="0.35">
      <c r="A243" s="75" t="s">
        <v>276</v>
      </c>
      <c r="B243" s="75" t="s">
        <v>318</v>
      </c>
      <c r="C243" s="76" t="s">
        <v>397</v>
      </c>
      <c r="D243" s="77">
        <v>39287</v>
      </c>
      <c r="E243" s="78">
        <v>138.51929999999999</v>
      </c>
    </row>
    <row r="244" spans="1:5" x14ac:dyDescent="0.35">
      <c r="A244" s="75" t="s">
        <v>283</v>
      </c>
      <c r="B244" s="75" t="s">
        <v>312</v>
      </c>
      <c r="C244" s="76" t="s">
        <v>397</v>
      </c>
      <c r="D244" s="77">
        <v>39287</v>
      </c>
      <c r="E244" s="78">
        <v>161.15479999999999</v>
      </c>
    </row>
    <row r="245" spans="1:5" x14ac:dyDescent="0.35">
      <c r="A245" s="75" t="s">
        <v>270</v>
      </c>
      <c r="B245" s="75" t="s">
        <v>444</v>
      </c>
      <c r="C245" s="76" t="s">
        <v>397</v>
      </c>
      <c r="D245" s="77">
        <v>39290</v>
      </c>
      <c r="E245" s="78">
        <v>117.8608</v>
      </c>
    </row>
    <row r="246" spans="1:5" x14ac:dyDescent="0.35">
      <c r="A246" s="75" t="s">
        <v>276</v>
      </c>
      <c r="B246" s="75" t="s">
        <v>470</v>
      </c>
      <c r="C246" s="76" t="s">
        <v>397</v>
      </c>
      <c r="D246" s="77">
        <v>39290</v>
      </c>
      <c r="E246" s="78">
        <v>126.3828</v>
      </c>
    </row>
    <row r="247" spans="1:5" x14ac:dyDescent="0.35">
      <c r="A247" s="75" t="s">
        <v>283</v>
      </c>
      <c r="B247" s="75" t="s">
        <v>434</v>
      </c>
      <c r="C247" s="76" t="s">
        <v>397</v>
      </c>
      <c r="D247" s="77">
        <v>39290</v>
      </c>
      <c r="E247" s="78">
        <v>155.43700000000001</v>
      </c>
    </row>
    <row r="248" spans="1:5" x14ac:dyDescent="0.35">
      <c r="A248" s="75" t="s">
        <v>283</v>
      </c>
      <c r="B248" s="75" t="s">
        <v>471</v>
      </c>
      <c r="C248" s="76" t="s">
        <v>397</v>
      </c>
      <c r="D248" s="77">
        <v>39291</v>
      </c>
      <c r="E248" s="78">
        <v>157.9188</v>
      </c>
    </row>
    <row r="249" spans="1:5" x14ac:dyDescent="0.35">
      <c r="A249" s="75" t="s">
        <v>276</v>
      </c>
      <c r="B249" s="75" t="s">
        <v>472</v>
      </c>
      <c r="C249" s="76" t="s">
        <v>397</v>
      </c>
      <c r="D249" s="77">
        <v>39291</v>
      </c>
      <c r="E249" s="78">
        <v>126.3828</v>
      </c>
    </row>
    <row r="250" spans="1:5" x14ac:dyDescent="0.35">
      <c r="A250" s="75" t="s">
        <v>276</v>
      </c>
      <c r="B250" s="75" t="s">
        <v>407</v>
      </c>
      <c r="C250" s="76" t="s">
        <v>397</v>
      </c>
      <c r="D250" s="77">
        <v>39292</v>
      </c>
      <c r="E250" s="78">
        <v>123.67910000000001</v>
      </c>
    </row>
    <row r="251" spans="1:5" x14ac:dyDescent="0.35">
      <c r="A251" s="75" t="s">
        <v>276</v>
      </c>
      <c r="B251" s="75" t="s">
        <v>473</v>
      </c>
      <c r="C251" s="76" t="s">
        <v>397</v>
      </c>
      <c r="D251" s="77">
        <v>39292</v>
      </c>
      <c r="E251" s="78">
        <v>138.24</v>
      </c>
    </row>
    <row r="252" spans="1:5" x14ac:dyDescent="0.35">
      <c r="A252" s="75" t="s">
        <v>276</v>
      </c>
      <c r="B252" s="75" t="s">
        <v>474</v>
      </c>
      <c r="C252" s="76" t="s">
        <v>397</v>
      </c>
      <c r="D252" s="77">
        <v>39294</v>
      </c>
      <c r="E252" s="78">
        <v>123.67910000000001</v>
      </c>
    </row>
    <row r="253" spans="1:5" x14ac:dyDescent="0.35">
      <c r="A253" s="75" t="s">
        <v>283</v>
      </c>
      <c r="B253" s="75" t="s">
        <v>475</v>
      </c>
      <c r="C253" s="76" t="s">
        <v>397</v>
      </c>
      <c r="D253" s="77">
        <v>39299</v>
      </c>
      <c r="E253" s="78">
        <v>157.822</v>
      </c>
    </row>
    <row r="254" spans="1:5" x14ac:dyDescent="0.35">
      <c r="A254" s="75" t="s">
        <v>283</v>
      </c>
      <c r="B254" s="75" t="s">
        <v>346</v>
      </c>
      <c r="C254" s="76" t="s">
        <v>397</v>
      </c>
      <c r="D254" s="77">
        <v>39299</v>
      </c>
      <c r="E254" s="78">
        <v>157.9188</v>
      </c>
    </row>
    <row r="255" spans="1:5" x14ac:dyDescent="0.35">
      <c r="A255" s="75" t="s">
        <v>276</v>
      </c>
      <c r="B255" s="75" t="s">
        <v>476</v>
      </c>
      <c r="C255" s="76" t="s">
        <v>397</v>
      </c>
      <c r="D255" s="77">
        <v>39300</v>
      </c>
      <c r="E255" s="78">
        <v>123.67910000000001</v>
      </c>
    </row>
    <row r="256" spans="1:5" x14ac:dyDescent="0.35">
      <c r="A256" s="75" t="s">
        <v>276</v>
      </c>
      <c r="B256" s="75" t="s">
        <v>477</v>
      </c>
      <c r="C256" s="76" t="s">
        <v>397</v>
      </c>
      <c r="D256" s="77">
        <v>39301</v>
      </c>
      <c r="E256" s="78">
        <v>126.3828</v>
      </c>
    </row>
    <row r="257" spans="1:5" x14ac:dyDescent="0.35">
      <c r="A257" s="75" t="s">
        <v>270</v>
      </c>
      <c r="B257" s="75" t="s">
        <v>478</v>
      </c>
      <c r="C257" s="76" t="s">
        <v>397</v>
      </c>
      <c r="D257" s="77">
        <v>39304</v>
      </c>
      <c r="E257" s="78">
        <v>117.8608</v>
      </c>
    </row>
    <row r="258" spans="1:5" x14ac:dyDescent="0.35">
      <c r="A258" s="75" t="s">
        <v>270</v>
      </c>
      <c r="B258" s="75" t="s">
        <v>458</v>
      </c>
      <c r="C258" s="76" t="s">
        <v>397</v>
      </c>
      <c r="D258" s="77">
        <v>39307</v>
      </c>
      <c r="E258" s="78">
        <v>109.53230000000001</v>
      </c>
    </row>
    <row r="259" spans="1:5" x14ac:dyDescent="0.35">
      <c r="A259" s="75" t="s">
        <v>276</v>
      </c>
      <c r="B259" s="75" t="s">
        <v>350</v>
      </c>
      <c r="C259" s="76" t="s">
        <v>397</v>
      </c>
      <c r="D259" s="77">
        <v>39308</v>
      </c>
      <c r="E259" s="78">
        <v>137.0196</v>
      </c>
    </row>
    <row r="260" spans="1:5" x14ac:dyDescent="0.35">
      <c r="A260" s="75" t="s">
        <v>276</v>
      </c>
      <c r="B260" s="75" t="s">
        <v>479</v>
      </c>
      <c r="C260" s="76" t="s">
        <v>397</v>
      </c>
      <c r="D260" s="77">
        <v>39313</v>
      </c>
      <c r="E260" s="78">
        <v>137.0196</v>
      </c>
    </row>
    <row r="261" spans="1:5" x14ac:dyDescent="0.35">
      <c r="A261" s="75" t="s">
        <v>274</v>
      </c>
      <c r="B261" s="75" t="s">
        <v>449</v>
      </c>
      <c r="C261" s="76" t="s">
        <v>397</v>
      </c>
      <c r="D261" s="77">
        <v>39313</v>
      </c>
      <c r="E261" s="78">
        <v>130.5522</v>
      </c>
    </row>
    <row r="262" spans="1:5" x14ac:dyDescent="0.35">
      <c r="A262" s="75" t="s">
        <v>270</v>
      </c>
      <c r="B262" s="75" t="s">
        <v>480</v>
      </c>
      <c r="C262" s="76" t="s">
        <v>397</v>
      </c>
      <c r="D262" s="77">
        <v>39318</v>
      </c>
      <c r="E262" s="78">
        <v>146.52520000000001</v>
      </c>
    </row>
    <row r="263" spans="1:5" x14ac:dyDescent="0.35">
      <c r="A263" s="75" t="s">
        <v>283</v>
      </c>
      <c r="B263" s="75" t="s">
        <v>425</v>
      </c>
      <c r="C263" s="76" t="s">
        <v>397</v>
      </c>
      <c r="D263" s="77">
        <v>39325</v>
      </c>
      <c r="E263" s="78">
        <v>161.15479999999999</v>
      </c>
    </row>
    <row r="264" spans="1:5" x14ac:dyDescent="0.35">
      <c r="A264" s="75" t="s">
        <v>274</v>
      </c>
      <c r="B264" s="75" t="s">
        <v>296</v>
      </c>
      <c r="C264" s="76" t="s">
        <v>397</v>
      </c>
      <c r="D264" s="77">
        <v>39332</v>
      </c>
      <c r="E264" s="78">
        <v>130.5522</v>
      </c>
    </row>
    <row r="265" spans="1:5" x14ac:dyDescent="0.35">
      <c r="A265" s="75" t="s">
        <v>276</v>
      </c>
      <c r="B265" s="75" t="s">
        <v>407</v>
      </c>
      <c r="C265" s="76" t="s">
        <v>397</v>
      </c>
      <c r="D265" s="77">
        <v>39341</v>
      </c>
      <c r="E265" s="78">
        <v>123.67910000000001</v>
      </c>
    </row>
    <row r="266" spans="1:5" x14ac:dyDescent="0.35">
      <c r="A266" s="75" t="s">
        <v>276</v>
      </c>
      <c r="B266" s="75" t="s">
        <v>472</v>
      </c>
      <c r="C266" s="76" t="s">
        <v>397</v>
      </c>
      <c r="D266" s="77">
        <v>39341</v>
      </c>
      <c r="E266" s="78">
        <v>126.3828</v>
      </c>
    </row>
    <row r="267" spans="1:5" x14ac:dyDescent="0.35">
      <c r="A267" s="75" t="s">
        <v>270</v>
      </c>
      <c r="B267" s="75" t="s">
        <v>481</v>
      </c>
      <c r="C267" s="76" t="s">
        <v>397</v>
      </c>
      <c r="D267" s="77">
        <v>39342</v>
      </c>
      <c r="E267" s="78">
        <v>155.97980000000001</v>
      </c>
    </row>
    <row r="268" spans="1:5" x14ac:dyDescent="0.35">
      <c r="A268" s="75" t="s">
        <v>270</v>
      </c>
      <c r="B268" s="75" t="s">
        <v>482</v>
      </c>
      <c r="C268" s="76" t="s">
        <v>397</v>
      </c>
      <c r="D268" s="77">
        <v>39342</v>
      </c>
      <c r="E268" s="78">
        <v>117.8608</v>
      </c>
    </row>
    <row r="269" spans="1:5" x14ac:dyDescent="0.35">
      <c r="A269" s="75" t="s">
        <v>274</v>
      </c>
      <c r="B269" s="75" t="s">
        <v>483</v>
      </c>
      <c r="C269" s="76" t="s">
        <v>397</v>
      </c>
      <c r="D269" s="77">
        <v>39343</v>
      </c>
      <c r="E269" s="78">
        <v>130.5522</v>
      </c>
    </row>
    <row r="270" spans="1:5" x14ac:dyDescent="0.35">
      <c r="A270" s="75" t="s">
        <v>276</v>
      </c>
      <c r="B270" s="75" t="s">
        <v>472</v>
      </c>
      <c r="C270" s="76" t="s">
        <v>397</v>
      </c>
      <c r="D270" s="77">
        <v>39343</v>
      </c>
      <c r="E270" s="78">
        <v>126.3828</v>
      </c>
    </row>
    <row r="271" spans="1:5" x14ac:dyDescent="0.35">
      <c r="A271" s="75" t="s">
        <v>283</v>
      </c>
      <c r="B271" s="75" t="s">
        <v>484</v>
      </c>
      <c r="C271" s="76" t="s">
        <v>397</v>
      </c>
      <c r="D271" s="77">
        <v>39348</v>
      </c>
      <c r="E271" s="78">
        <v>179.9939</v>
      </c>
    </row>
    <row r="272" spans="1:5" x14ac:dyDescent="0.35">
      <c r="A272" s="75" t="s">
        <v>276</v>
      </c>
      <c r="B272" s="75" t="s">
        <v>473</v>
      </c>
      <c r="C272" s="76" t="s">
        <v>397</v>
      </c>
      <c r="D272" s="77">
        <v>39348</v>
      </c>
      <c r="E272" s="78">
        <v>138.24</v>
      </c>
    </row>
    <row r="273" spans="1:5" x14ac:dyDescent="0.35">
      <c r="A273" s="75" t="s">
        <v>276</v>
      </c>
      <c r="B273" s="75" t="s">
        <v>407</v>
      </c>
      <c r="C273" s="76" t="s">
        <v>397</v>
      </c>
      <c r="D273" s="77">
        <v>39350</v>
      </c>
      <c r="E273" s="78">
        <v>123.67910000000001</v>
      </c>
    </row>
    <row r="274" spans="1:5" x14ac:dyDescent="0.35">
      <c r="A274" s="75" t="s">
        <v>276</v>
      </c>
      <c r="B274" s="75" t="s">
        <v>485</v>
      </c>
      <c r="C274" s="76" t="s">
        <v>397</v>
      </c>
      <c r="D274" s="77">
        <v>39353</v>
      </c>
      <c r="E274" s="78">
        <v>138.24</v>
      </c>
    </row>
    <row r="275" spans="1:5" x14ac:dyDescent="0.35">
      <c r="A275" s="75" t="s">
        <v>276</v>
      </c>
      <c r="B275" s="75" t="s">
        <v>486</v>
      </c>
      <c r="C275" s="76" t="s">
        <v>397</v>
      </c>
      <c r="D275" s="77">
        <v>39356</v>
      </c>
      <c r="E275" s="78">
        <v>126.3828</v>
      </c>
    </row>
    <row r="276" spans="1:5" x14ac:dyDescent="0.35">
      <c r="A276" s="75" t="s">
        <v>276</v>
      </c>
      <c r="B276" s="75" t="s">
        <v>487</v>
      </c>
      <c r="C276" s="76" t="s">
        <v>397</v>
      </c>
      <c r="D276" s="77">
        <v>39360</v>
      </c>
      <c r="E276" s="78">
        <v>123.67910000000001</v>
      </c>
    </row>
    <row r="277" spans="1:5" x14ac:dyDescent="0.35">
      <c r="A277" s="75" t="s">
        <v>270</v>
      </c>
      <c r="B277" s="75" t="s">
        <v>444</v>
      </c>
      <c r="C277" s="76" t="s">
        <v>397</v>
      </c>
      <c r="D277" s="77">
        <v>39360</v>
      </c>
      <c r="E277" s="78">
        <v>117.8608</v>
      </c>
    </row>
    <row r="278" spans="1:5" x14ac:dyDescent="0.35">
      <c r="A278" s="75" t="s">
        <v>274</v>
      </c>
      <c r="B278" s="75" t="s">
        <v>296</v>
      </c>
      <c r="C278" s="76" t="s">
        <v>397</v>
      </c>
      <c r="D278" s="77">
        <v>39361</v>
      </c>
      <c r="E278" s="78">
        <v>130.5522</v>
      </c>
    </row>
    <row r="279" spans="1:5" x14ac:dyDescent="0.35">
      <c r="A279" s="75" t="s">
        <v>276</v>
      </c>
      <c r="B279" s="75" t="s">
        <v>488</v>
      </c>
      <c r="C279" s="76" t="s">
        <v>397</v>
      </c>
      <c r="D279" s="77">
        <v>39361</v>
      </c>
      <c r="E279" s="78">
        <v>138.24</v>
      </c>
    </row>
    <row r="280" spans="1:5" x14ac:dyDescent="0.35">
      <c r="A280" s="75" t="s">
        <v>270</v>
      </c>
      <c r="B280" s="75" t="s">
        <v>489</v>
      </c>
      <c r="C280" s="76" t="s">
        <v>397</v>
      </c>
      <c r="D280" s="77">
        <v>39363</v>
      </c>
      <c r="E280" s="78">
        <v>142.5857</v>
      </c>
    </row>
    <row r="281" spans="1:5" x14ac:dyDescent="0.35">
      <c r="A281" s="75" t="s">
        <v>283</v>
      </c>
      <c r="B281" s="75" t="s">
        <v>490</v>
      </c>
      <c r="C281" s="76" t="s">
        <v>397</v>
      </c>
      <c r="D281" s="77">
        <v>39364</v>
      </c>
      <c r="E281" s="78">
        <v>141.33619999999999</v>
      </c>
    </row>
    <row r="282" spans="1:5" x14ac:dyDescent="0.35">
      <c r="A282" s="75" t="s">
        <v>270</v>
      </c>
      <c r="B282" s="75" t="s">
        <v>444</v>
      </c>
      <c r="C282" s="76" t="s">
        <v>397</v>
      </c>
      <c r="D282" s="77">
        <v>39364</v>
      </c>
      <c r="E282" s="78">
        <v>117.8608</v>
      </c>
    </row>
    <row r="283" spans="1:5" x14ac:dyDescent="0.35">
      <c r="A283" s="75" t="s">
        <v>276</v>
      </c>
      <c r="B283" s="75" t="s">
        <v>491</v>
      </c>
      <c r="C283" s="76" t="s">
        <v>397</v>
      </c>
      <c r="D283" s="77">
        <v>39368</v>
      </c>
      <c r="E283" s="78">
        <v>136.7543</v>
      </c>
    </row>
    <row r="284" spans="1:5" x14ac:dyDescent="0.35">
      <c r="A284" s="75" t="s">
        <v>274</v>
      </c>
      <c r="B284" s="75" t="s">
        <v>492</v>
      </c>
      <c r="C284" s="76" t="s">
        <v>397</v>
      </c>
      <c r="D284" s="77">
        <v>39368</v>
      </c>
      <c r="E284" s="78">
        <v>130.5522</v>
      </c>
    </row>
    <row r="285" spans="1:5" x14ac:dyDescent="0.35">
      <c r="A285" s="75" t="s">
        <v>270</v>
      </c>
      <c r="B285" s="75" t="s">
        <v>493</v>
      </c>
      <c r="C285" s="76" t="s">
        <v>397</v>
      </c>
      <c r="D285" s="77">
        <v>39369</v>
      </c>
      <c r="E285" s="78">
        <v>110.79219999999999</v>
      </c>
    </row>
    <row r="286" spans="1:5" x14ac:dyDescent="0.35">
      <c r="A286" s="75" t="s">
        <v>274</v>
      </c>
      <c r="B286" s="75" t="s">
        <v>494</v>
      </c>
      <c r="C286" s="76" t="s">
        <v>397</v>
      </c>
      <c r="D286" s="77">
        <v>39369</v>
      </c>
      <c r="E286" s="78">
        <v>129.91820000000001</v>
      </c>
    </row>
    <row r="287" spans="1:5" x14ac:dyDescent="0.35">
      <c r="A287" s="75" t="s">
        <v>276</v>
      </c>
      <c r="B287" s="75" t="s">
        <v>407</v>
      </c>
      <c r="C287" s="76" t="s">
        <v>397</v>
      </c>
      <c r="D287" s="77">
        <v>39370</v>
      </c>
      <c r="E287" s="78">
        <v>123.67910000000001</v>
      </c>
    </row>
    <row r="288" spans="1:5" x14ac:dyDescent="0.35">
      <c r="A288" s="75" t="s">
        <v>276</v>
      </c>
      <c r="B288" s="75" t="s">
        <v>495</v>
      </c>
      <c r="C288" s="76" t="s">
        <v>397</v>
      </c>
      <c r="D288" s="77">
        <v>39370</v>
      </c>
      <c r="E288" s="78">
        <v>138.51929999999999</v>
      </c>
    </row>
    <row r="289" spans="1:5" x14ac:dyDescent="0.35">
      <c r="A289" s="75" t="s">
        <v>270</v>
      </c>
      <c r="B289" s="75" t="s">
        <v>496</v>
      </c>
      <c r="C289" s="76" t="s">
        <v>397</v>
      </c>
      <c r="D289" s="77">
        <v>39374</v>
      </c>
      <c r="E289" s="78">
        <v>110.79219999999999</v>
      </c>
    </row>
    <row r="290" spans="1:5" x14ac:dyDescent="0.35">
      <c r="A290" s="75" t="s">
        <v>276</v>
      </c>
      <c r="B290" s="75" t="s">
        <v>497</v>
      </c>
      <c r="C290" s="76" t="s">
        <v>397</v>
      </c>
      <c r="D290" s="77">
        <v>39378</v>
      </c>
      <c r="E290" s="78">
        <v>157.5171</v>
      </c>
    </row>
    <row r="291" spans="1:5" x14ac:dyDescent="0.35">
      <c r="A291" s="75" t="s">
        <v>276</v>
      </c>
      <c r="B291" s="75" t="s">
        <v>498</v>
      </c>
      <c r="C291" s="76" t="s">
        <v>397</v>
      </c>
      <c r="D291" s="77">
        <v>39381</v>
      </c>
      <c r="E291" s="78">
        <v>122.89019999999999</v>
      </c>
    </row>
    <row r="292" spans="1:5" x14ac:dyDescent="0.35">
      <c r="A292" s="75" t="s">
        <v>270</v>
      </c>
      <c r="B292" s="75" t="s">
        <v>271</v>
      </c>
      <c r="C292" s="76" t="s">
        <v>397</v>
      </c>
      <c r="D292" s="77">
        <v>39388</v>
      </c>
      <c r="E292" s="78">
        <v>110.79219999999999</v>
      </c>
    </row>
    <row r="293" spans="1:5" x14ac:dyDescent="0.35">
      <c r="A293" s="75" t="s">
        <v>276</v>
      </c>
      <c r="B293" s="75" t="s">
        <v>465</v>
      </c>
      <c r="C293" s="76" t="s">
        <v>397</v>
      </c>
      <c r="D293" s="77">
        <v>39388</v>
      </c>
      <c r="E293" s="78">
        <v>157.5171</v>
      </c>
    </row>
    <row r="294" spans="1:5" x14ac:dyDescent="0.35">
      <c r="A294" s="75" t="s">
        <v>276</v>
      </c>
      <c r="B294" s="75" t="s">
        <v>468</v>
      </c>
      <c r="C294" s="76" t="s">
        <v>397</v>
      </c>
      <c r="D294" s="77">
        <v>39389</v>
      </c>
      <c r="E294" s="78">
        <v>137.0196</v>
      </c>
    </row>
    <row r="295" spans="1:5" x14ac:dyDescent="0.35">
      <c r="A295" s="75" t="s">
        <v>283</v>
      </c>
      <c r="B295" s="75" t="s">
        <v>499</v>
      </c>
      <c r="C295" s="76" t="s">
        <v>397</v>
      </c>
      <c r="D295" s="77">
        <v>39389</v>
      </c>
      <c r="E295" s="78">
        <v>157.9188</v>
      </c>
    </row>
    <row r="296" spans="1:5" x14ac:dyDescent="0.35">
      <c r="A296" s="75" t="s">
        <v>276</v>
      </c>
      <c r="B296" s="75" t="s">
        <v>500</v>
      </c>
      <c r="C296" s="76" t="s">
        <v>397</v>
      </c>
      <c r="D296" s="77">
        <v>39389</v>
      </c>
      <c r="E296" s="78">
        <v>121.1307</v>
      </c>
    </row>
    <row r="297" spans="1:5" x14ac:dyDescent="0.35">
      <c r="A297" s="75" t="s">
        <v>274</v>
      </c>
      <c r="B297" s="75" t="s">
        <v>501</v>
      </c>
      <c r="C297" s="76" t="s">
        <v>397</v>
      </c>
      <c r="D297" s="77">
        <v>39391</v>
      </c>
      <c r="E297" s="78">
        <v>130.5522</v>
      </c>
    </row>
    <row r="298" spans="1:5" x14ac:dyDescent="0.35">
      <c r="A298" s="75" t="s">
        <v>283</v>
      </c>
      <c r="B298" s="75" t="s">
        <v>502</v>
      </c>
      <c r="C298" s="76" t="s">
        <v>397</v>
      </c>
      <c r="D298" s="77">
        <v>39391</v>
      </c>
      <c r="E298" s="78">
        <v>161.15479999999999</v>
      </c>
    </row>
    <row r="299" spans="1:5" x14ac:dyDescent="0.35">
      <c r="A299" s="75" t="s">
        <v>274</v>
      </c>
      <c r="B299" s="75" t="s">
        <v>503</v>
      </c>
      <c r="C299" s="76" t="s">
        <v>397</v>
      </c>
      <c r="D299" s="77">
        <v>39392</v>
      </c>
      <c r="E299" s="78">
        <v>145.00890000000001</v>
      </c>
    </row>
    <row r="300" spans="1:5" x14ac:dyDescent="0.35">
      <c r="A300" s="75" t="s">
        <v>270</v>
      </c>
      <c r="B300" s="75" t="s">
        <v>504</v>
      </c>
      <c r="C300" s="76" t="s">
        <v>397</v>
      </c>
      <c r="D300" s="77">
        <v>39396</v>
      </c>
      <c r="E300" s="78">
        <v>151.73840000000001</v>
      </c>
    </row>
    <row r="301" spans="1:5" x14ac:dyDescent="0.35">
      <c r="A301" s="75" t="s">
        <v>283</v>
      </c>
      <c r="B301" s="75" t="s">
        <v>505</v>
      </c>
      <c r="C301" s="76" t="s">
        <v>397</v>
      </c>
      <c r="D301" s="77">
        <v>39396</v>
      </c>
      <c r="E301" s="78">
        <v>157.9188</v>
      </c>
    </row>
    <row r="302" spans="1:5" x14ac:dyDescent="0.35">
      <c r="A302" s="75" t="s">
        <v>276</v>
      </c>
      <c r="B302" s="75" t="s">
        <v>472</v>
      </c>
      <c r="C302" s="76" t="s">
        <v>397</v>
      </c>
      <c r="D302" s="77">
        <v>39402</v>
      </c>
      <c r="E302" s="78">
        <v>126.3828</v>
      </c>
    </row>
    <row r="303" spans="1:5" x14ac:dyDescent="0.35">
      <c r="A303" s="75" t="s">
        <v>283</v>
      </c>
      <c r="B303" s="75" t="s">
        <v>506</v>
      </c>
      <c r="C303" s="76" t="s">
        <v>397</v>
      </c>
      <c r="D303" s="77">
        <v>39406</v>
      </c>
      <c r="E303" s="78">
        <v>161.15479999999999</v>
      </c>
    </row>
    <row r="304" spans="1:5" x14ac:dyDescent="0.35">
      <c r="A304" s="75" t="s">
        <v>276</v>
      </c>
      <c r="B304" s="75" t="s">
        <v>429</v>
      </c>
      <c r="C304" s="76" t="s">
        <v>397</v>
      </c>
      <c r="D304" s="77">
        <v>39410</v>
      </c>
      <c r="E304" s="78">
        <v>122.89019999999999</v>
      </c>
    </row>
    <row r="305" spans="1:5" x14ac:dyDescent="0.35">
      <c r="A305" s="75" t="s">
        <v>270</v>
      </c>
      <c r="B305" s="75" t="s">
        <v>507</v>
      </c>
      <c r="C305" s="76" t="s">
        <v>397</v>
      </c>
      <c r="D305" s="77">
        <v>39410</v>
      </c>
      <c r="E305" s="78">
        <v>110.79219999999999</v>
      </c>
    </row>
    <row r="306" spans="1:5" x14ac:dyDescent="0.35">
      <c r="A306" s="75" t="s">
        <v>283</v>
      </c>
      <c r="B306" s="75" t="s">
        <v>427</v>
      </c>
      <c r="C306" s="76" t="s">
        <v>397</v>
      </c>
      <c r="D306" s="77">
        <v>39412</v>
      </c>
      <c r="E306" s="78">
        <v>141.33619999999999</v>
      </c>
    </row>
    <row r="307" spans="1:5" x14ac:dyDescent="0.35">
      <c r="A307" s="75" t="s">
        <v>276</v>
      </c>
      <c r="B307" s="75" t="s">
        <v>508</v>
      </c>
      <c r="C307" s="76" t="s">
        <v>397</v>
      </c>
      <c r="D307" s="77">
        <v>39417</v>
      </c>
      <c r="E307" s="78">
        <v>136.4366</v>
      </c>
    </row>
    <row r="308" spans="1:5" x14ac:dyDescent="0.35">
      <c r="A308" s="75" t="s">
        <v>276</v>
      </c>
      <c r="B308" s="75" t="s">
        <v>509</v>
      </c>
      <c r="C308" s="76" t="s">
        <v>397</v>
      </c>
      <c r="D308" s="77">
        <v>39417</v>
      </c>
      <c r="E308" s="78">
        <v>121.1307</v>
      </c>
    </row>
    <row r="309" spans="1:5" x14ac:dyDescent="0.35">
      <c r="A309" s="75" t="s">
        <v>270</v>
      </c>
      <c r="B309" s="75" t="s">
        <v>510</v>
      </c>
      <c r="C309" s="76" t="s">
        <v>397</v>
      </c>
      <c r="D309" s="77">
        <v>39418</v>
      </c>
      <c r="E309" s="78">
        <v>151.73840000000001</v>
      </c>
    </row>
    <row r="310" spans="1:5" x14ac:dyDescent="0.35">
      <c r="A310" s="75" t="s">
        <v>270</v>
      </c>
      <c r="B310" s="75" t="s">
        <v>511</v>
      </c>
      <c r="C310" s="76" t="s">
        <v>397</v>
      </c>
      <c r="D310" s="77">
        <v>39419</v>
      </c>
      <c r="E310" s="78">
        <v>125.0718</v>
      </c>
    </row>
    <row r="311" spans="1:5" x14ac:dyDescent="0.35">
      <c r="A311" s="75" t="s">
        <v>274</v>
      </c>
      <c r="B311" s="75" t="s">
        <v>512</v>
      </c>
      <c r="C311" s="76" t="s">
        <v>397</v>
      </c>
      <c r="D311" s="77">
        <v>39419</v>
      </c>
      <c r="E311" s="78">
        <v>150.67850000000001</v>
      </c>
    </row>
    <row r="312" spans="1:5" x14ac:dyDescent="0.35">
      <c r="A312" s="75" t="s">
        <v>283</v>
      </c>
      <c r="B312" s="75" t="s">
        <v>513</v>
      </c>
      <c r="C312" s="76" t="s">
        <v>397</v>
      </c>
      <c r="D312" s="77">
        <v>39424</v>
      </c>
      <c r="E312" s="78">
        <v>145.02260000000001</v>
      </c>
    </row>
    <row r="313" spans="1:5" x14ac:dyDescent="0.35">
      <c r="A313" s="75" t="s">
        <v>283</v>
      </c>
      <c r="B313" s="75" t="s">
        <v>514</v>
      </c>
      <c r="C313" s="76" t="s">
        <v>397</v>
      </c>
      <c r="D313" s="77">
        <v>39430</v>
      </c>
      <c r="E313" s="78">
        <v>157.9188</v>
      </c>
    </row>
    <row r="314" spans="1:5" x14ac:dyDescent="0.35">
      <c r="A314" s="75" t="s">
        <v>270</v>
      </c>
      <c r="B314" s="75" t="s">
        <v>458</v>
      </c>
      <c r="C314" s="76" t="s">
        <v>397</v>
      </c>
      <c r="D314" s="77">
        <v>39432</v>
      </c>
      <c r="E314" s="78">
        <v>109.53230000000001</v>
      </c>
    </row>
    <row r="315" spans="1:5" x14ac:dyDescent="0.35">
      <c r="A315" s="75" t="s">
        <v>270</v>
      </c>
      <c r="B315" s="75" t="s">
        <v>515</v>
      </c>
      <c r="C315" s="76" t="s">
        <v>397</v>
      </c>
      <c r="D315" s="77">
        <v>39433</v>
      </c>
      <c r="E315" s="78">
        <v>110.79219999999999</v>
      </c>
    </row>
    <row r="316" spans="1:5" x14ac:dyDescent="0.35">
      <c r="A316" s="75" t="s">
        <v>283</v>
      </c>
      <c r="B316" s="75" t="s">
        <v>346</v>
      </c>
      <c r="C316" s="76" t="s">
        <v>397</v>
      </c>
      <c r="D316" s="77">
        <v>39433</v>
      </c>
      <c r="E316" s="78">
        <v>157.9188</v>
      </c>
    </row>
    <row r="317" spans="1:5" x14ac:dyDescent="0.35">
      <c r="A317" s="75" t="s">
        <v>283</v>
      </c>
      <c r="B317" s="75" t="s">
        <v>516</v>
      </c>
      <c r="C317" s="76" t="s">
        <v>397</v>
      </c>
      <c r="D317" s="77">
        <v>39445</v>
      </c>
      <c r="E317" s="78">
        <v>157.9188</v>
      </c>
    </row>
    <row r="318" spans="1:5" x14ac:dyDescent="0.35">
      <c r="A318" s="75" t="s">
        <v>276</v>
      </c>
      <c r="B318" s="75" t="s">
        <v>302</v>
      </c>
      <c r="C318" s="76" t="s">
        <v>397</v>
      </c>
      <c r="D318" s="77">
        <v>39446</v>
      </c>
      <c r="E318" s="78">
        <v>136.4366</v>
      </c>
    </row>
    <row r="319" spans="1:5" x14ac:dyDescent="0.35">
      <c r="A319" s="75" t="s">
        <v>274</v>
      </c>
      <c r="B319" s="75" t="s">
        <v>517</v>
      </c>
      <c r="C319" s="76" t="s">
        <v>397</v>
      </c>
      <c r="D319" s="77">
        <v>39446</v>
      </c>
      <c r="E319" s="78">
        <v>148.84110000000001</v>
      </c>
    </row>
    <row r="320" spans="1:5" x14ac:dyDescent="0.35">
      <c r="A320" s="75" t="s">
        <v>283</v>
      </c>
      <c r="B320" s="75" t="s">
        <v>346</v>
      </c>
      <c r="C320" s="79" t="s">
        <v>518</v>
      </c>
      <c r="D320" s="77">
        <v>39088</v>
      </c>
      <c r="E320" s="78">
        <v>136.4316</v>
      </c>
    </row>
    <row r="321" spans="1:5" x14ac:dyDescent="0.35">
      <c r="A321" s="75" t="s">
        <v>283</v>
      </c>
      <c r="B321" s="75" t="s">
        <v>519</v>
      </c>
      <c r="C321" s="79" t="s">
        <v>518</v>
      </c>
      <c r="D321" s="77">
        <v>39090</v>
      </c>
      <c r="E321" s="78">
        <v>174.62880000000001</v>
      </c>
    </row>
    <row r="322" spans="1:5" x14ac:dyDescent="0.35">
      <c r="A322" s="75" t="s">
        <v>274</v>
      </c>
      <c r="B322" s="75" t="s">
        <v>520</v>
      </c>
      <c r="C322" s="79" t="s">
        <v>518</v>
      </c>
      <c r="D322" s="77">
        <v>39097</v>
      </c>
      <c r="E322" s="78">
        <v>191.3192</v>
      </c>
    </row>
    <row r="323" spans="1:5" x14ac:dyDescent="0.35">
      <c r="A323" s="75" t="s">
        <v>283</v>
      </c>
      <c r="B323" s="75" t="s">
        <v>521</v>
      </c>
      <c r="C323" s="79" t="s">
        <v>518</v>
      </c>
      <c r="D323" s="77">
        <v>39098</v>
      </c>
      <c r="E323" s="78">
        <v>154.55369999999999</v>
      </c>
    </row>
    <row r="324" spans="1:5" x14ac:dyDescent="0.35">
      <c r="A324" s="75" t="s">
        <v>283</v>
      </c>
      <c r="B324" s="75" t="s">
        <v>379</v>
      </c>
      <c r="C324" s="79" t="s">
        <v>518</v>
      </c>
      <c r="D324" s="77">
        <v>39110</v>
      </c>
      <c r="E324" s="78">
        <v>139.67660000000001</v>
      </c>
    </row>
    <row r="325" spans="1:5" x14ac:dyDescent="0.35">
      <c r="A325" s="75" t="s">
        <v>276</v>
      </c>
      <c r="B325" s="75" t="s">
        <v>424</v>
      </c>
      <c r="C325" s="79" t="s">
        <v>518</v>
      </c>
      <c r="D325" s="77">
        <v>39112</v>
      </c>
      <c r="E325" s="78">
        <v>135.1711</v>
      </c>
    </row>
    <row r="326" spans="1:5" x14ac:dyDescent="0.35">
      <c r="A326" s="75" t="s">
        <v>283</v>
      </c>
      <c r="B326" s="75" t="s">
        <v>522</v>
      </c>
      <c r="C326" s="79" t="s">
        <v>518</v>
      </c>
      <c r="D326" s="77">
        <v>39116</v>
      </c>
      <c r="E326" s="78">
        <v>175.00149999999999</v>
      </c>
    </row>
    <row r="327" spans="1:5" x14ac:dyDescent="0.35">
      <c r="A327" s="75" t="s">
        <v>276</v>
      </c>
      <c r="B327" s="75" t="s">
        <v>472</v>
      </c>
      <c r="C327" s="79" t="s">
        <v>518</v>
      </c>
      <c r="D327" s="77">
        <v>39116</v>
      </c>
      <c r="E327" s="78">
        <v>124.3043</v>
      </c>
    </row>
    <row r="328" spans="1:5" x14ac:dyDescent="0.35">
      <c r="A328" s="75" t="s">
        <v>283</v>
      </c>
      <c r="B328" s="75" t="s">
        <v>523</v>
      </c>
      <c r="C328" s="79" t="s">
        <v>518</v>
      </c>
      <c r="D328" s="77">
        <v>39117</v>
      </c>
      <c r="E328" s="78">
        <v>174.62880000000001</v>
      </c>
    </row>
    <row r="329" spans="1:5" x14ac:dyDescent="0.35">
      <c r="A329" s="75" t="s">
        <v>274</v>
      </c>
      <c r="B329" s="75" t="s">
        <v>517</v>
      </c>
      <c r="C329" s="79" t="s">
        <v>518</v>
      </c>
      <c r="D329" s="77">
        <v>39124</v>
      </c>
      <c r="E329" s="78">
        <v>151.3578</v>
      </c>
    </row>
    <row r="330" spans="1:5" x14ac:dyDescent="0.35">
      <c r="A330" s="75" t="s">
        <v>274</v>
      </c>
      <c r="B330" s="75" t="s">
        <v>524</v>
      </c>
      <c r="C330" s="79" t="s">
        <v>518</v>
      </c>
      <c r="D330" s="77">
        <v>39125</v>
      </c>
      <c r="E330" s="78">
        <v>125.7127</v>
      </c>
    </row>
    <row r="331" spans="1:5" x14ac:dyDescent="0.35">
      <c r="A331" s="75" t="s">
        <v>283</v>
      </c>
      <c r="B331" s="75" t="s">
        <v>525</v>
      </c>
      <c r="C331" s="79" t="s">
        <v>518</v>
      </c>
      <c r="D331" s="77">
        <v>39126</v>
      </c>
      <c r="E331" s="78">
        <v>168.82409999999999</v>
      </c>
    </row>
    <row r="332" spans="1:5" x14ac:dyDescent="0.35">
      <c r="A332" s="75" t="s">
        <v>283</v>
      </c>
      <c r="B332" s="75" t="s">
        <v>526</v>
      </c>
      <c r="C332" s="79" t="s">
        <v>518</v>
      </c>
      <c r="D332" s="77">
        <v>39130</v>
      </c>
      <c r="E332" s="78">
        <v>154.55369999999999</v>
      </c>
    </row>
    <row r="333" spans="1:5" x14ac:dyDescent="0.35">
      <c r="A333" s="75" t="s">
        <v>283</v>
      </c>
      <c r="B333" s="75" t="s">
        <v>527</v>
      </c>
      <c r="C333" s="79" t="s">
        <v>518</v>
      </c>
      <c r="D333" s="77">
        <v>39131</v>
      </c>
      <c r="E333" s="78">
        <v>174.62880000000001</v>
      </c>
    </row>
    <row r="334" spans="1:5" x14ac:dyDescent="0.35">
      <c r="A334" s="75" t="s">
        <v>276</v>
      </c>
      <c r="B334" s="75" t="s">
        <v>528</v>
      </c>
      <c r="C334" s="79" t="s">
        <v>518</v>
      </c>
      <c r="D334" s="77">
        <v>39133</v>
      </c>
      <c r="E334" s="78">
        <v>118.2955</v>
      </c>
    </row>
    <row r="335" spans="1:5" x14ac:dyDescent="0.35">
      <c r="A335" s="75" t="s">
        <v>283</v>
      </c>
      <c r="B335" s="75" t="s">
        <v>522</v>
      </c>
      <c r="C335" s="79" t="s">
        <v>518</v>
      </c>
      <c r="D335" s="77">
        <v>39137</v>
      </c>
      <c r="E335" s="78">
        <v>175.00149999999999</v>
      </c>
    </row>
    <row r="336" spans="1:5" x14ac:dyDescent="0.35">
      <c r="A336" s="75" t="s">
        <v>283</v>
      </c>
      <c r="B336" s="75" t="s">
        <v>529</v>
      </c>
      <c r="C336" s="79" t="s">
        <v>518</v>
      </c>
      <c r="D336" s="77">
        <v>39138</v>
      </c>
      <c r="E336" s="78">
        <v>174.62880000000001</v>
      </c>
    </row>
    <row r="337" spans="1:5" x14ac:dyDescent="0.35">
      <c r="A337" s="75" t="s">
        <v>270</v>
      </c>
      <c r="B337" s="75" t="s">
        <v>530</v>
      </c>
      <c r="C337" s="79" t="s">
        <v>518</v>
      </c>
      <c r="D337" s="77">
        <v>39139</v>
      </c>
      <c r="E337" s="78">
        <v>132.31630000000001</v>
      </c>
    </row>
    <row r="338" spans="1:5" x14ac:dyDescent="0.35">
      <c r="A338" s="75" t="s">
        <v>283</v>
      </c>
      <c r="B338" s="75" t="s">
        <v>531</v>
      </c>
      <c r="C338" s="79" t="s">
        <v>518</v>
      </c>
      <c r="D338" s="77">
        <v>39140</v>
      </c>
      <c r="E338" s="78">
        <v>168.82409999999999</v>
      </c>
    </row>
    <row r="339" spans="1:5" x14ac:dyDescent="0.35">
      <c r="A339" s="75" t="s">
        <v>283</v>
      </c>
      <c r="B339" s="75" t="s">
        <v>379</v>
      </c>
      <c r="C339" s="79" t="s">
        <v>518</v>
      </c>
      <c r="D339" s="77">
        <v>39146</v>
      </c>
      <c r="E339" s="78">
        <v>139.67660000000001</v>
      </c>
    </row>
    <row r="340" spans="1:5" x14ac:dyDescent="0.35">
      <c r="A340" s="75" t="s">
        <v>283</v>
      </c>
      <c r="B340" s="75" t="s">
        <v>346</v>
      </c>
      <c r="C340" s="79" t="s">
        <v>518</v>
      </c>
      <c r="D340" s="77">
        <v>39159</v>
      </c>
      <c r="E340" s="78">
        <v>136.4316</v>
      </c>
    </row>
    <row r="341" spans="1:5" x14ac:dyDescent="0.35">
      <c r="A341" s="75" t="s">
        <v>283</v>
      </c>
      <c r="B341" s="75" t="s">
        <v>532</v>
      </c>
      <c r="C341" s="79" t="s">
        <v>518</v>
      </c>
      <c r="D341" s="77">
        <v>39165</v>
      </c>
      <c r="E341" s="78">
        <v>154.55369999999999</v>
      </c>
    </row>
    <row r="342" spans="1:5" x14ac:dyDescent="0.35">
      <c r="A342" s="75" t="s">
        <v>283</v>
      </c>
      <c r="B342" s="75" t="s">
        <v>379</v>
      </c>
      <c r="C342" s="79" t="s">
        <v>518</v>
      </c>
      <c r="D342" s="77">
        <v>39167</v>
      </c>
      <c r="E342" s="78">
        <v>139.67660000000001</v>
      </c>
    </row>
    <row r="343" spans="1:5" x14ac:dyDescent="0.35">
      <c r="A343" s="75" t="s">
        <v>283</v>
      </c>
      <c r="B343" s="75" t="s">
        <v>346</v>
      </c>
      <c r="C343" s="79" t="s">
        <v>518</v>
      </c>
      <c r="D343" s="77">
        <v>39172</v>
      </c>
      <c r="E343" s="78">
        <v>136.4316</v>
      </c>
    </row>
    <row r="344" spans="1:5" x14ac:dyDescent="0.35">
      <c r="A344" s="75" t="s">
        <v>270</v>
      </c>
      <c r="B344" s="75" t="s">
        <v>315</v>
      </c>
      <c r="C344" s="79" t="s">
        <v>518</v>
      </c>
      <c r="D344" s="77">
        <v>39173</v>
      </c>
      <c r="E344" s="78">
        <v>159.59129999999999</v>
      </c>
    </row>
    <row r="345" spans="1:5" x14ac:dyDescent="0.35">
      <c r="A345" s="75" t="s">
        <v>274</v>
      </c>
      <c r="B345" s="75" t="s">
        <v>449</v>
      </c>
      <c r="C345" s="79" t="s">
        <v>518</v>
      </c>
      <c r="D345" s="77">
        <v>39178</v>
      </c>
      <c r="E345" s="78">
        <v>138.18539999999999</v>
      </c>
    </row>
    <row r="346" spans="1:5" x14ac:dyDescent="0.35">
      <c r="A346" s="75" t="s">
        <v>283</v>
      </c>
      <c r="B346" s="75" t="s">
        <v>379</v>
      </c>
      <c r="C346" s="79" t="s">
        <v>518</v>
      </c>
      <c r="D346" s="77">
        <v>39185</v>
      </c>
      <c r="E346" s="78">
        <v>139.67660000000001</v>
      </c>
    </row>
    <row r="347" spans="1:5" x14ac:dyDescent="0.35">
      <c r="A347" s="75" t="s">
        <v>283</v>
      </c>
      <c r="B347" s="75" t="s">
        <v>533</v>
      </c>
      <c r="C347" s="79" t="s">
        <v>518</v>
      </c>
      <c r="D347" s="77">
        <v>39188</v>
      </c>
      <c r="E347" s="78">
        <v>168.82409999999999</v>
      </c>
    </row>
    <row r="348" spans="1:5" x14ac:dyDescent="0.35">
      <c r="A348" s="75" t="s">
        <v>283</v>
      </c>
      <c r="B348" s="75" t="s">
        <v>534</v>
      </c>
      <c r="C348" s="79" t="s">
        <v>518</v>
      </c>
      <c r="D348" s="77">
        <v>39193</v>
      </c>
      <c r="E348" s="78">
        <v>168.82409999999999</v>
      </c>
    </row>
    <row r="349" spans="1:5" x14ac:dyDescent="0.35">
      <c r="A349" s="75" t="s">
        <v>283</v>
      </c>
      <c r="B349" s="75" t="s">
        <v>535</v>
      </c>
      <c r="C349" s="79" t="s">
        <v>518</v>
      </c>
      <c r="D349" s="77">
        <v>39196</v>
      </c>
      <c r="E349" s="78">
        <v>168.82409999999999</v>
      </c>
    </row>
    <row r="350" spans="1:5" x14ac:dyDescent="0.35">
      <c r="A350" s="75" t="s">
        <v>283</v>
      </c>
      <c r="B350" s="75" t="s">
        <v>536</v>
      </c>
      <c r="C350" s="79" t="s">
        <v>518</v>
      </c>
      <c r="D350" s="77">
        <v>39201</v>
      </c>
      <c r="E350" s="78">
        <v>168.82409999999999</v>
      </c>
    </row>
    <row r="351" spans="1:5" x14ac:dyDescent="0.35">
      <c r="A351" s="75" t="s">
        <v>283</v>
      </c>
      <c r="B351" s="75" t="s">
        <v>537</v>
      </c>
      <c r="C351" s="79" t="s">
        <v>518</v>
      </c>
      <c r="D351" s="77">
        <v>39210</v>
      </c>
      <c r="E351" s="78">
        <v>168.49420000000001</v>
      </c>
    </row>
    <row r="352" spans="1:5" x14ac:dyDescent="0.35">
      <c r="A352" s="75" t="s">
        <v>274</v>
      </c>
      <c r="B352" s="75" t="s">
        <v>524</v>
      </c>
      <c r="C352" s="79" t="s">
        <v>518</v>
      </c>
      <c r="D352" s="77">
        <v>39220</v>
      </c>
      <c r="E352" s="78">
        <v>125.7127</v>
      </c>
    </row>
    <row r="353" spans="1:5" x14ac:dyDescent="0.35">
      <c r="A353" s="75" t="s">
        <v>283</v>
      </c>
      <c r="B353" s="75" t="s">
        <v>538</v>
      </c>
      <c r="C353" s="79" t="s">
        <v>518</v>
      </c>
      <c r="D353" s="77">
        <v>39223</v>
      </c>
      <c r="E353" s="78">
        <v>168.49420000000001</v>
      </c>
    </row>
    <row r="354" spans="1:5" x14ac:dyDescent="0.35">
      <c r="A354" s="75" t="s">
        <v>283</v>
      </c>
      <c r="B354" s="75" t="s">
        <v>379</v>
      </c>
      <c r="C354" s="79" t="s">
        <v>518</v>
      </c>
      <c r="D354" s="77">
        <v>39224</v>
      </c>
      <c r="E354" s="78">
        <v>139.67660000000001</v>
      </c>
    </row>
    <row r="355" spans="1:5" x14ac:dyDescent="0.35">
      <c r="A355" s="75" t="s">
        <v>283</v>
      </c>
      <c r="B355" s="75" t="s">
        <v>539</v>
      </c>
      <c r="C355" s="79" t="s">
        <v>518</v>
      </c>
      <c r="D355" s="77">
        <v>39228</v>
      </c>
      <c r="E355" s="78">
        <v>168.82409999999999</v>
      </c>
    </row>
    <row r="356" spans="1:5" x14ac:dyDescent="0.35">
      <c r="A356" s="75" t="s">
        <v>283</v>
      </c>
      <c r="B356" s="75" t="s">
        <v>540</v>
      </c>
      <c r="C356" s="79" t="s">
        <v>518</v>
      </c>
      <c r="D356" s="77">
        <v>39238</v>
      </c>
      <c r="E356" s="78">
        <v>168.82409999999999</v>
      </c>
    </row>
    <row r="357" spans="1:5" x14ac:dyDescent="0.35">
      <c r="A357" s="75" t="s">
        <v>283</v>
      </c>
      <c r="B357" s="75" t="s">
        <v>533</v>
      </c>
      <c r="C357" s="79" t="s">
        <v>518</v>
      </c>
      <c r="D357" s="77">
        <v>39242</v>
      </c>
      <c r="E357" s="78">
        <v>168.82409999999999</v>
      </c>
    </row>
    <row r="358" spans="1:5" x14ac:dyDescent="0.35">
      <c r="A358" s="75" t="s">
        <v>283</v>
      </c>
      <c r="B358" s="75" t="s">
        <v>541</v>
      </c>
      <c r="C358" s="79" t="s">
        <v>518</v>
      </c>
      <c r="D358" s="77">
        <v>39242</v>
      </c>
      <c r="E358" s="78">
        <v>168.82409999999999</v>
      </c>
    </row>
    <row r="359" spans="1:5" x14ac:dyDescent="0.35">
      <c r="A359" s="75" t="s">
        <v>276</v>
      </c>
      <c r="B359" s="75" t="s">
        <v>542</v>
      </c>
      <c r="C359" s="79" t="s">
        <v>518</v>
      </c>
      <c r="D359" s="77">
        <v>39243</v>
      </c>
      <c r="E359" s="78">
        <v>155.37</v>
      </c>
    </row>
    <row r="360" spans="1:5" x14ac:dyDescent="0.35">
      <c r="A360" s="75" t="s">
        <v>283</v>
      </c>
      <c r="B360" s="75" t="s">
        <v>379</v>
      </c>
      <c r="C360" s="79" t="s">
        <v>518</v>
      </c>
      <c r="D360" s="77">
        <v>39243</v>
      </c>
      <c r="E360" s="78">
        <v>139.67660000000001</v>
      </c>
    </row>
    <row r="361" spans="1:5" x14ac:dyDescent="0.35">
      <c r="A361" s="75" t="s">
        <v>283</v>
      </c>
      <c r="B361" s="75" t="s">
        <v>534</v>
      </c>
      <c r="C361" s="79" t="s">
        <v>518</v>
      </c>
      <c r="D361" s="77">
        <v>39244</v>
      </c>
      <c r="E361" s="78">
        <v>168.82409999999999</v>
      </c>
    </row>
    <row r="362" spans="1:5" x14ac:dyDescent="0.35">
      <c r="A362" s="75" t="s">
        <v>283</v>
      </c>
      <c r="B362" s="75" t="s">
        <v>543</v>
      </c>
      <c r="C362" s="79" t="s">
        <v>518</v>
      </c>
      <c r="D362" s="77">
        <v>39248</v>
      </c>
      <c r="E362" s="78">
        <v>168.82409999999999</v>
      </c>
    </row>
    <row r="363" spans="1:5" x14ac:dyDescent="0.35">
      <c r="A363" s="75" t="s">
        <v>283</v>
      </c>
      <c r="B363" s="75" t="s">
        <v>519</v>
      </c>
      <c r="C363" s="79" t="s">
        <v>518</v>
      </c>
      <c r="D363" s="77">
        <v>39257</v>
      </c>
      <c r="E363" s="78">
        <v>174.62880000000001</v>
      </c>
    </row>
    <row r="364" spans="1:5" x14ac:dyDescent="0.35">
      <c r="A364" s="75" t="s">
        <v>270</v>
      </c>
      <c r="B364" s="75" t="s">
        <v>483</v>
      </c>
      <c r="C364" s="79" t="s">
        <v>518</v>
      </c>
      <c r="D364" s="77">
        <v>39264</v>
      </c>
      <c r="E364" s="78">
        <v>140.32570000000001</v>
      </c>
    </row>
    <row r="365" spans="1:5" x14ac:dyDescent="0.35">
      <c r="A365" s="75" t="s">
        <v>274</v>
      </c>
      <c r="B365" s="75" t="s">
        <v>544</v>
      </c>
      <c r="C365" s="79" t="s">
        <v>518</v>
      </c>
      <c r="D365" s="77">
        <v>39277</v>
      </c>
      <c r="E365" s="78">
        <v>138.18539999999999</v>
      </c>
    </row>
    <row r="366" spans="1:5" x14ac:dyDescent="0.35">
      <c r="A366" s="75" t="s">
        <v>276</v>
      </c>
      <c r="B366" s="75" t="s">
        <v>545</v>
      </c>
      <c r="C366" s="79" t="s">
        <v>518</v>
      </c>
      <c r="D366" s="77">
        <v>39280</v>
      </c>
      <c r="E366" s="78">
        <v>118.2955</v>
      </c>
    </row>
    <row r="367" spans="1:5" x14ac:dyDescent="0.35">
      <c r="A367" s="75" t="s">
        <v>283</v>
      </c>
      <c r="B367" s="75" t="s">
        <v>540</v>
      </c>
      <c r="C367" s="79" t="s">
        <v>518</v>
      </c>
      <c r="D367" s="77">
        <v>39286</v>
      </c>
      <c r="E367" s="78">
        <v>168.82409999999999</v>
      </c>
    </row>
    <row r="368" spans="1:5" x14ac:dyDescent="0.35">
      <c r="A368" s="75" t="s">
        <v>283</v>
      </c>
      <c r="B368" s="75" t="s">
        <v>546</v>
      </c>
      <c r="C368" s="79" t="s">
        <v>518</v>
      </c>
      <c r="D368" s="77">
        <v>39287</v>
      </c>
      <c r="E368" s="78">
        <v>170.88329999999999</v>
      </c>
    </row>
    <row r="369" spans="1:5" x14ac:dyDescent="0.35">
      <c r="A369" s="75" t="s">
        <v>276</v>
      </c>
      <c r="B369" s="75" t="s">
        <v>547</v>
      </c>
      <c r="C369" s="79" t="s">
        <v>518</v>
      </c>
      <c r="D369" s="77">
        <v>39291</v>
      </c>
      <c r="E369" s="78">
        <v>135.34620000000001</v>
      </c>
    </row>
    <row r="370" spans="1:5" x14ac:dyDescent="0.35">
      <c r="A370" s="75" t="s">
        <v>283</v>
      </c>
      <c r="B370" s="75" t="s">
        <v>359</v>
      </c>
      <c r="C370" s="79" t="s">
        <v>518</v>
      </c>
      <c r="D370" s="77">
        <v>39294</v>
      </c>
      <c r="E370" s="78">
        <v>168.82409999999999</v>
      </c>
    </row>
    <row r="371" spans="1:5" x14ac:dyDescent="0.35">
      <c r="A371" s="75" t="s">
        <v>276</v>
      </c>
      <c r="B371" s="75" t="s">
        <v>351</v>
      </c>
      <c r="C371" s="79" t="s">
        <v>518</v>
      </c>
      <c r="D371" s="77">
        <v>39294</v>
      </c>
      <c r="E371" s="78">
        <v>171.8022</v>
      </c>
    </row>
    <row r="372" spans="1:5" x14ac:dyDescent="0.35">
      <c r="A372" s="75" t="s">
        <v>283</v>
      </c>
      <c r="B372" s="75" t="s">
        <v>548</v>
      </c>
      <c r="C372" s="79" t="s">
        <v>518</v>
      </c>
      <c r="D372" s="77">
        <v>39297</v>
      </c>
      <c r="E372" s="78">
        <v>154.55369999999999</v>
      </c>
    </row>
    <row r="373" spans="1:5" x14ac:dyDescent="0.35">
      <c r="A373" s="75" t="s">
        <v>283</v>
      </c>
      <c r="B373" s="75" t="s">
        <v>549</v>
      </c>
      <c r="C373" s="79" t="s">
        <v>518</v>
      </c>
      <c r="D373" s="77">
        <v>39299</v>
      </c>
      <c r="E373" s="78">
        <v>175.00149999999999</v>
      </c>
    </row>
    <row r="374" spans="1:5" x14ac:dyDescent="0.35">
      <c r="A374" s="75" t="s">
        <v>283</v>
      </c>
      <c r="B374" s="75" t="s">
        <v>314</v>
      </c>
      <c r="C374" s="79" t="s">
        <v>518</v>
      </c>
      <c r="D374" s="77">
        <v>39300</v>
      </c>
      <c r="E374" s="78">
        <v>168.82409999999999</v>
      </c>
    </row>
    <row r="375" spans="1:5" x14ac:dyDescent="0.35">
      <c r="A375" s="75" t="s">
        <v>283</v>
      </c>
      <c r="B375" s="75" t="s">
        <v>529</v>
      </c>
      <c r="C375" s="79" t="s">
        <v>518</v>
      </c>
      <c r="D375" s="77">
        <v>39300</v>
      </c>
      <c r="E375" s="78">
        <v>174.62880000000001</v>
      </c>
    </row>
    <row r="376" spans="1:5" x14ac:dyDescent="0.35">
      <c r="A376" s="75" t="s">
        <v>276</v>
      </c>
      <c r="B376" s="75" t="s">
        <v>472</v>
      </c>
      <c r="C376" s="79" t="s">
        <v>518</v>
      </c>
      <c r="D376" s="77">
        <v>39304</v>
      </c>
      <c r="E376" s="78">
        <v>124.3043</v>
      </c>
    </row>
    <row r="377" spans="1:5" x14ac:dyDescent="0.35">
      <c r="A377" s="75" t="s">
        <v>283</v>
      </c>
      <c r="B377" s="75" t="s">
        <v>522</v>
      </c>
      <c r="C377" s="79" t="s">
        <v>518</v>
      </c>
      <c r="D377" s="77">
        <v>39314</v>
      </c>
      <c r="E377" s="78">
        <v>175.00149999999999</v>
      </c>
    </row>
    <row r="378" spans="1:5" x14ac:dyDescent="0.35">
      <c r="A378" s="75" t="s">
        <v>283</v>
      </c>
      <c r="B378" s="75" t="s">
        <v>550</v>
      </c>
      <c r="C378" s="79" t="s">
        <v>518</v>
      </c>
      <c r="D378" s="77">
        <v>39321</v>
      </c>
      <c r="E378" s="78">
        <v>168.82409999999999</v>
      </c>
    </row>
    <row r="379" spans="1:5" x14ac:dyDescent="0.35">
      <c r="A379" s="75" t="s">
        <v>276</v>
      </c>
      <c r="B379" s="75" t="s">
        <v>351</v>
      </c>
      <c r="C379" s="79" t="s">
        <v>518</v>
      </c>
      <c r="D379" s="77">
        <v>39327</v>
      </c>
      <c r="E379" s="78">
        <v>171.8022</v>
      </c>
    </row>
    <row r="380" spans="1:5" x14ac:dyDescent="0.35">
      <c r="A380" s="75" t="s">
        <v>276</v>
      </c>
      <c r="B380" s="75" t="s">
        <v>551</v>
      </c>
      <c r="C380" s="79" t="s">
        <v>518</v>
      </c>
      <c r="D380" s="77">
        <v>39328</v>
      </c>
      <c r="E380" s="78">
        <v>155.37</v>
      </c>
    </row>
    <row r="381" spans="1:5" x14ac:dyDescent="0.35">
      <c r="A381" s="75" t="s">
        <v>276</v>
      </c>
      <c r="B381" s="75" t="s">
        <v>552</v>
      </c>
      <c r="C381" s="79" t="s">
        <v>518</v>
      </c>
      <c r="D381" s="77">
        <v>39336</v>
      </c>
      <c r="E381" s="78">
        <v>190.0909</v>
      </c>
    </row>
    <row r="382" spans="1:5" x14ac:dyDescent="0.35">
      <c r="A382" s="75" t="s">
        <v>283</v>
      </c>
      <c r="B382" s="75" t="s">
        <v>532</v>
      </c>
      <c r="C382" s="79" t="s">
        <v>518</v>
      </c>
      <c r="D382" s="77">
        <v>39340</v>
      </c>
      <c r="E382" s="78">
        <v>154.55369999999999</v>
      </c>
    </row>
    <row r="383" spans="1:5" x14ac:dyDescent="0.35">
      <c r="A383" s="75" t="s">
        <v>276</v>
      </c>
      <c r="B383" s="75" t="s">
        <v>423</v>
      </c>
      <c r="C383" s="79" t="s">
        <v>518</v>
      </c>
      <c r="D383" s="77">
        <v>39347</v>
      </c>
      <c r="E383" s="78">
        <v>172.93090000000001</v>
      </c>
    </row>
    <row r="384" spans="1:5" x14ac:dyDescent="0.35">
      <c r="A384" s="75" t="s">
        <v>283</v>
      </c>
      <c r="B384" s="75" t="s">
        <v>532</v>
      </c>
      <c r="C384" s="79" t="s">
        <v>518</v>
      </c>
      <c r="D384" s="77">
        <v>39350</v>
      </c>
      <c r="E384" s="78">
        <v>154.55369999999999</v>
      </c>
    </row>
    <row r="385" spans="1:5" x14ac:dyDescent="0.35">
      <c r="A385" s="75" t="s">
        <v>276</v>
      </c>
      <c r="B385" s="75" t="s">
        <v>399</v>
      </c>
      <c r="C385" s="79" t="s">
        <v>518</v>
      </c>
      <c r="D385" s="77">
        <v>39354</v>
      </c>
      <c r="E385" s="78">
        <v>135.1711</v>
      </c>
    </row>
    <row r="386" spans="1:5" x14ac:dyDescent="0.35">
      <c r="A386" s="75" t="s">
        <v>276</v>
      </c>
      <c r="B386" s="75" t="s">
        <v>401</v>
      </c>
      <c r="C386" s="79" t="s">
        <v>518</v>
      </c>
      <c r="D386" s="77">
        <v>39354</v>
      </c>
      <c r="E386" s="78">
        <v>135.34620000000001</v>
      </c>
    </row>
    <row r="387" spans="1:5" x14ac:dyDescent="0.35">
      <c r="A387" s="75" t="s">
        <v>283</v>
      </c>
      <c r="B387" s="75" t="s">
        <v>550</v>
      </c>
      <c r="C387" s="79" t="s">
        <v>518</v>
      </c>
      <c r="D387" s="77">
        <v>39360</v>
      </c>
      <c r="E387" s="78">
        <v>168.82409999999999</v>
      </c>
    </row>
    <row r="388" spans="1:5" x14ac:dyDescent="0.35">
      <c r="A388" s="75" t="s">
        <v>270</v>
      </c>
      <c r="B388" s="75" t="s">
        <v>403</v>
      </c>
      <c r="C388" s="79" t="s">
        <v>518</v>
      </c>
      <c r="D388" s="77">
        <v>39361</v>
      </c>
      <c r="E388" s="78">
        <v>140.32570000000001</v>
      </c>
    </row>
    <row r="389" spans="1:5" x14ac:dyDescent="0.35">
      <c r="A389" s="75" t="s">
        <v>283</v>
      </c>
      <c r="B389" s="75" t="s">
        <v>553</v>
      </c>
      <c r="C389" s="79" t="s">
        <v>518</v>
      </c>
      <c r="D389" s="77">
        <v>39368</v>
      </c>
      <c r="E389" s="78">
        <v>139.67660000000001</v>
      </c>
    </row>
    <row r="390" spans="1:5" x14ac:dyDescent="0.35">
      <c r="A390" s="75" t="s">
        <v>270</v>
      </c>
      <c r="B390" s="75" t="s">
        <v>554</v>
      </c>
      <c r="C390" s="79" t="s">
        <v>518</v>
      </c>
      <c r="D390" s="77">
        <v>39369</v>
      </c>
      <c r="E390" s="78">
        <v>160.78460000000001</v>
      </c>
    </row>
    <row r="391" spans="1:5" x14ac:dyDescent="0.35">
      <c r="A391" s="75" t="s">
        <v>283</v>
      </c>
      <c r="B391" s="75" t="s">
        <v>395</v>
      </c>
      <c r="C391" s="79" t="s">
        <v>518</v>
      </c>
      <c r="D391" s="77">
        <v>39371</v>
      </c>
      <c r="E391" s="78">
        <v>136.4316</v>
      </c>
    </row>
    <row r="392" spans="1:5" x14ac:dyDescent="0.35">
      <c r="A392" s="75" t="s">
        <v>274</v>
      </c>
      <c r="B392" s="75" t="s">
        <v>555</v>
      </c>
      <c r="C392" s="79" t="s">
        <v>518</v>
      </c>
      <c r="D392" s="77">
        <v>39374</v>
      </c>
      <c r="E392" s="78">
        <v>125.7127</v>
      </c>
    </row>
    <row r="393" spans="1:5" x14ac:dyDescent="0.35">
      <c r="A393" s="75" t="s">
        <v>276</v>
      </c>
      <c r="B393" s="75" t="s">
        <v>399</v>
      </c>
      <c r="C393" s="79" t="s">
        <v>518</v>
      </c>
      <c r="D393" s="77">
        <v>39389</v>
      </c>
      <c r="E393" s="78">
        <v>135.1711</v>
      </c>
    </row>
    <row r="394" spans="1:5" x14ac:dyDescent="0.35">
      <c r="A394" s="75" t="s">
        <v>283</v>
      </c>
      <c r="B394" s="75" t="s">
        <v>556</v>
      </c>
      <c r="C394" s="79" t="s">
        <v>518</v>
      </c>
      <c r="D394" s="77">
        <v>39389</v>
      </c>
      <c r="E394" s="78">
        <v>168.82409999999999</v>
      </c>
    </row>
    <row r="395" spans="1:5" x14ac:dyDescent="0.35">
      <c r="A395" s="75" t="s">
        <v>274</v>
      </c>
      <c r="B395" s="75" t="s">
        <v>544</v>
      </c>
      <c r="C395" s="79" t="s">
        <v>518</v>
      </c>
      <c r="D395" s="77">
        <v>39391</v>
      </c>
      <c r="E395" s="78">
        <v>138.18539999999999</v>
      </c>
    </row>
    <row r="396" spans="1:5" x14ac:dyDescent="0.35">
      <c r="A396" s="75" t="s">
        <v>276</v>
      </c>
      <c r="B396" s="75" t="s">
        <v>472</v>
      </c>
      <c r="C396" s="79" t="s">
        <v>518</v>
      </c>
      <c r="D396" s="77">
        <v>39391</v>
      </c>
      <c r="E396" s="78">
        <v>124.3043</v>
      </c>
    </row>
    <row r="397" spans="1:5" x14ac:dyDescent="0.35">
      <c r="A397" s="75" t="s">
        <v>283</v>
      </c>
      <c r="B397" s="75" t="s">
        <v>298</v>
      </c>
      <c r="C397" s="79" t="s">
        <v>518</v>
      </c>
      <c r="D397" s="77">
        <v>39398</v>
      </c>
      <c r="E397" s="78">
        <v>168.49420000000001</v>
      </c>
    </row>
    <row r="398" spans="1:5" x14ac:dyDescent="0.35">
      <c r="A398" s="75" t="s">
        <v>283</v>
      </c>
      <c r="B398" s="75" t="s">
        <v>557</v>
      </c>
      <c r="C398" s="79" t="s">
        <v>518</v>
      </c>
      <c r="D398" s="77">
        <v>39404</v>
      </c>
      <c r="E398" s="78">
        <v>168.49420000000001</v>
      </c>
    </row>
    <row r="399" spans="1:5" x14ac:dyDescent="0.35">
      <c r="A399" s="75" t="s">
        <v>283</v>
      </c>
      <c r="B399" s="75" t="s">
        <v>346</v>
      </c>
      <c r="C399" s="79" t="s">
        <v>518</v>
      </c>
      <c r="D399" s="77">
        <v>39420</v>
      </c>
      <c r="E399" s="78">
        <v>136.4316</v>
      </c>
    </row>
    <row r="400" spans="1:5" x14ac:dyDescent="0.35">
      <c r="A400" s="75" t="s">
        <v>274</v>
      </c>
      <c r="B400" s="75" t="s">
        <v>558</v>
      </c>
      <c r="C400" s="79" t="s">
        <v>518</v>
      </c>
      <c r="D400" s="77">
        <v>39426</v>
      </c>
      <c r="E400" s="78">
        <v>151.3578</v>
      </c>
    </row>
    <row r="401" spans="1:5" x14ac:dyDescent="0.35">
      <c r="A401" s="75" t="s">
        <v>283</v>
      </c>
      <c r="B401" s="75" t="s">
        <v>559</v>
      </c>
      <c r="C401" s="79" t="s">
        <v>518</v>
      </c>
      <c r="D401" s="77">
        <v>39427</v>
      </c>
      <c r="E401" s="78">
        <v>154.55369999999999</v>
      </c>
    </row>
    <row r="402" spans="1:5" x14ac:dyDescent="0.35">
      <c r="A402" s="75" t="s">
        <v>283</v>
      </c>
      <c r="B402" s="75" t="s">
        <v>560</v>
      </c>
      <c r="C402" s="79" t="s">
        <v>518</v>
      </c>
      <c r="D402" s="77">
        <v>39430</v>
      </c>
      <c r="E402" s="78">
        <v>219.76</v>
      </c>
    </row>
    <row r="403" spans="1:5" x14ac:dyDescent="0.35">
      <c r="A403" s="75" t="s">
        <v>283</v>
      </c>
      <c r="B403" s="75" t="s">
        <v>561</v>
      </c>
      <c r="C403" s="79" t="s">
        <v>518</v>
      </c>
      <c r="D403" s="77">
        <v>39437</v>
      </c>
      <c r="E403" s="78">
        <v>175.00149999999999</v>
      </c>
    </row>
    <row r="404" spans="1:5" x14ac:dyDescent="0.35">
      <c r="A404" s="75" t="s">
        <v>283</v>
      </c>
      <c r="B404" s="75" t="s">
        <v>562</v>
      </c>
      <c r="C404" s="79" t="s">
        <v>518</v>
      </c>
      <c r="D404" s="77">
        <v>39438</v>
      </c>
      <c r="E404" s="78">
        <v>174.62880000000001</v>
      </c>
    </row>
    <row r="405" spans="1:5" x14ac:dyDescent="0.35">
      <c r="A405" s="75" t="s">
        <v>274</v>
      </c>
      <c r="B405" s="75" t="s">
        <v>517</v>
      </c>
      <c r="C405" s="79" t="s">
        <v>563</v>
      </c>
      <c r="D405" s="77">
        <v>39094</v>
      </c>
      <c r="E405" s="78">
        <v>190.66380000000001</v>
      </c>
    </row>
    <row r="406" spans="1:5" x14ac:dyDescent="0.35">
      <c r="A406" s="75" t="s">
        <v>283</v>
      </c>
      <c r="B406" s="75" t="s">
        <v>564</v>
      </c>
      <c r="C406" s="79" t="s">
        <v>563</v>
      </c>
      <c r="D406" s="77">
        <v>39098</v>
      </c>
      <c r="E406" s="78">
        <v>214.17189999999999</v>
      </c>
    </row>
    <row r="407" spans="1:5" x14ac:dyDescent="0.35">
      <c r="A407" s="75" t="s">
        <v>270</v>
      </c>
      <c r="B407" s="75" t="s">
        <v>565</v>
      </c>
      <c r="C407" s="79" t="s">
        <v>563</v>
      </c>
      <c r="D407" s="77">
        <v>39118</v>
      </c>
      <c r="E407" s="78">
        <v>184.0565</v>
      </c>
    </row>
    <row r="408" spans="1:5" x14ac:dyDescent="0.35">
      <c r="A408" s="75" t="s">
        <v>276</v>
      </c>
      <c r="B408" s="75" t="s">
        <v>566</v>
      </c>
      <c r="C408" s="79" t="s">
        <v>563</v>
      </c>
      <c r="D408" s="77">
        <v>39136</v>
      </c>
      <c r="E408" s="78">
        <v>185.70439999999999</v>
      </c>
    </row>
    <row r="409" spans="1:5" x14ac:dyDescent="0.35">
      <c r="A409" s="75" t="s">
        <v>274</v>
      </c>
      <c r="B409" s="75" t="s">
        <v>567</v>
      </c>
      <c r="C409" s="79" t="s">
        <v>563</v>
      </c>
      <c r="D409" s="77">
        <v>39153</v>
      </c>
      <c r="E409" s="78">
        <v>134.53620000000001</v>
      </c>
    </row>
    <row r="410" spans="1:5" x14ac:dyDescent="0.35">
      <c r="A410" s="75" t="s">
        <v>276</v>
      </c>
      <c r="B410" s="75" t="s">
        <v>429</v>
      </c>
      <c r="C410" s="79" t="s">
        <v>563</v>
      </c>
      <c r="D410" s="77">
        <v>39174</v>
      </c>
      <c r="E410" s="78">
        <v>183.9495</v>
      </c>
    </row>
    <row r="411" spans="1:5" x14ac:dyDescent="0.35">
      <c r="A411" s="75" t="s">
        <v>274</v>
      </c>
      <c r="B411" s="75" t="s">
        <v>568</v>
      </c>
      <c r="C411" s="79" t="s">
        <v>563</v>
      </c>
      <c r="D411" s="77">
        <v>39178</v>
      </c>
      <c r="E411" s="78">
        <v>214.1009</v>
      </c>
    </row>
    <row r="412" spans="1:5" x14ac:dyDescent="0.35">
      <c r="A412" s="75" t="s">
        <v>276</v>
      </c>
      <c r="B412" s="75" t="s">
        <v>354</v>
      </c>
      <c r="C412" s="79" t="s">
        <v>563</v>
      </c>
      <c r="D412" s="77">
        <v>39182</v>
      </c>
      <c r="E412" s="78">
        <v>189.41829999999999</v>
      </c>
    </row>
    <row r="413" spans="1:5" x14ac:dyDescent="0.35">
      <c r="A413" s="75" t="s">
        <v>270</v>
      </c>
      <c r="B413" s="75" t="s">
        <v>569</v>
      </c>
      <c r="C413" s="79" t="s">
        <v>563</v>
      </c>
      <c r="D413" s="77">
        <v>39188</v>
      </c>
      <c r="E413" s="78">
        <v>190.96250000000001</v>
      </c>
    </row>
    <row r="414" spans="1:5" x14ac:dyDescent="0.35">
      <c r="A414" s="75" t="s">
        <v>274</v>
      </c>
      <c r="B414" s="75" t="s">
        <v>570</v>
      </c>
      <c r="C414" s="79" t="s">
        <v>563</v>
      </c>
      <c r="D414" s="77">
        <v>39202</v>
      </c>
      <c r="E414" s="78">
        <v>134.53620000000001</v>
      </c>
    </row>
    <row r="415" spans="1:5" x14ac:dyDescent="0.35">
      <c r="A415" s="75" t="s">
        <v>283</v>
      </c>
      <c r="B415" s="75" t="s">
        <v>379</v>
      </c>
      <c r="C415" s="79" t="s">
        <v>563</v>
      </c>
      <c r="D415" s="77">
        <v>39224</v>
      </c>
      <c r="E415" s="78">
        <v>197.95179999999999</v>
      </c>
    </row>
    <row r="416" spans="1:5" x14ac:dyDescent="0.35">
      <c r="A416" s="75" t="s">
        <v>276</v>
      </c>
      <c r="B416" s="75" t="s">
        <v>465</v>
      </c>
      <c r="C416" s="79" t="s">
        <v>563</v>
      </c>
      <c r="D416" s="77">
        <v>39228</v>
      </c>
      <c r="E416" s="78">
        <v>184.2783</v>
      </c>
    </row>
    <row r="417" spans="1:5" x14ac:dyDescent="0.35">
      <c r="A417" s="75" t="s">
        <v>276</v>
      </c>
      <c r="B417" s="75" t="s">
        <v>571</v>
      </c>
      <c r="C417" s="79" t="s">
        <v>563</v>
      </c>
      <c r="D417" s="77">
        <v>39231</v>
      </c>
      <c r="E417" s="78">
        <v>185.70439999999999</v>
      </c>
    </row>
    <row r="418" spans="1:5" x14ac:dyDescent="0.35">
      <c r="A418" s="75" t="s">
        <v>274</v>
      </c>
      <c r="B418" s="75" t="s">
        <v>572</v>
      </c>
      <c r="C418" s="79" t="s">
        <v>563</v>
      </c>
      <c r="D418" s="77">
        <v>39237</v>
      </c>
      <c r="E418" s="78">
        <v>211.05500000000001</v>
      </c>
    </row>
    <row r="419" spans="1:5" x14ac:dyDescent="0.35">
      <c r="A419" s="75" t="s">
        <v>276</v>
      </c>
      <c r="B419" s="75" t="s">
        <v>477</v>
      </c>
      <c r="C419" s="79" t="s">
        <v>563</v>
      </c>
      <c r="D419" s="77">
        <v>39245</v>
      </c>
      <c r="E419" s="78">
        <v>209.44110000000001</v>
      </c>
    </row>
    <row r="420" spans="1:5" x14ac:dyDescent="0.35">
      <c r="A420" s="75" t="s">
        <v>276</v>
      </c>
      <c r="B420" s="75" t="s">
        <v>467</v>
      </c>
      <c r="C420" s="79" t="s">
        <v>563</v>
      </c>
      <c r="D420" s="77">
        <v>39269</v>
      </c>
      <c r="E420" s="78">
        <v>228.13730000000001</v>
      </c>
    </row>
    <row r="421" spans="1:5" x14ac:dyDescent="0.35">
      <c r="A421" s="75" t="s">
        <v>274</v>
      </c>
      <c r="B421" s="75" t="s">
        <v>573</v>
      </c>
      <c r="C421" s="79" t="s">
        <v>563</v>
      </c>
      <c r="D421" s="77">
        <v>39271</v>
      </c>
      <c r="E421" s="78">
        <v>185.15260000000001</v>
      </c>
    </row>
    <row r="422" spans="1:5" x14ac:dyDescent="0.35">
      <c r="A422" s="75" t="s">
        <v>274</v>
      </c>
      <c r="B422" s="75" t="s">
        <v>574</v>
      </c>
      <c r="C422" s="79" t="s">
        <v>563</v>
      </c>
      <c r="D422" s="77">
        <v>39272</v>
      </c>
      <c r="E422" s="78">
        <v>180.18940000000001</v>
      </c>
    </row>
    <row r="423" spans="1:5" x14ac:dyDescent="0.35">
      <c r="A423" s="75" t="s">
        <v>276</v>
      </c>
      <c r="B423" s="75" t="s">
        <v>500</v>
      </c>
      <c r="C423" s="79" t="s">
        <v>563</v>
      </c>
      <c r="D423" s="77">
        <v>39279</v>
      </c>
      <c r="E423" s="78">
        <v>185.70439999999999</v>
      </c>
    </row>
    <row r="424" spans="1:5" x14ac:dyDescent="0.35">
      <c r="A424" s="75" t="s">
        <v>274</v>
      </c>
      <c r="B424" s="75" t="s">
        <v>517</v>
      </c>
      <c r="C424" s="79" t="s">
        <v>563</v>
      </c>
      <c r="D424" s="77">
        <v>39313</v>
      </c>
      <c r="E424" s="78">
        <v>190.66380000000001</v>
      </c>
    </row>
    <row r="425" spans="1:5" x14ac:dyDescent="0.35">
      <c r="A425" s="75" t="s">
        <v>276</v>
      </c>
      <c r="B425" s="75" t="s">
        <v>575</v>
      </c>
      <c r="C425" s="79" t="s">
        <v>563</v>
      </c>
      <c r="D425" s="77">
        <v>39314</v>
      </c>
      <c r="E425" s="78">
        <v>184.0753</v>
      </c>
    </row>
    <row r="426" spans="1:5" x14ac:dyDescent="0.35">
      <c r="A426" s="75" t="s">
        <v>283</v>
      </c>
      <c r="B426" s="75" t="s">
        <v>346</v>
      </c>
      <c r="C426" s="79" t="s">
        <v>563</v>
      </c>
      <c r="D426" s="77">
        <v>39315</v>
      </c>
      <c r="E426" s="78">
        <v>175.8296</v>
      </c>
    </row>
    <row r="427" spans="1:5" x14ac:dyDescent="0.35">
      <c r="A427" s="75" t="s">
        <v>270</v>
      </c>
      <c r="B427" s="75" t="s">
        <v>576</v>
      </c>
      <c r="C427" s="79" t="s">
        <v>563</v>
      </c>
      <c r="D427" s="77">
        <v>39318</v>
      </c>
      <c r="E427" s="78">
        <v>190.96250000000001</v>
      </c>
    </row>
    <row r="428" spans="1:5" x14ac:dyDescent="0.35">
      <c r="A428" s="75" t="s">
        <v>283</v>
      </c>
      <c r="B428" s="75" t="s">
        <v>499</v>
      </c>
      <c r="C428" s="79" t="s">
        <v>563</v>
      </c>
      <c r="D428" s="77">
        <v>39318</v>
      </c>
      <c r="E428" s="78">
        <v>175.8296</v>
      </c>
    </row>
    <row r="429" spans="1:5" x14ac:dyDescent="0.35">
      <c r="A429" s="75" t="s">
        <v>270</v>
      </c>
      <c r="B429" s="75" t="s">
        <v>577</v>
      </c>
      <c r="C429" s="79" t="s">
        <v>563</v>
      </c>
      <c r="D429" s="77">
        <v>39325</v>
      </c>
      <c r="E429" s="78">
        <v>205.8</v>
      </c>
    </row>
    <row r="430" spans="1:5" x14ac:dyDescent="0.35">
      <c r="A430" s="75" t="s">
        <v>283</v>
      </c>
      <c r="B430" s="75" t="s">
        <v>379</v>
      </c>
      <c r="C430" s="79" t="s">
        <v>563</v>
      </c>
      <c r="D430" s="77">
        <v>39328</v>
      </c>
      <c r="E430" s="78">
        <v>197.95179999999999</v>
      </c>
    </row>
    <row r="431" spans="1:5" x14ac:dyDescent="0.35">
      <c r="A431" s="75" t="s">
        <v>283</v>
      </c>
      <c r="B431" s="75" t="s">
        <v>379</v>
      </c>
      <c r="C431" s="79" t="s">
        <v>563</v>
      </c>
      <c r="D431" s="77">
        <v>39332</v>
      </c>
      <c r="E431" s="78">
        <v>197.95179999999999</v>
      </c>
    </row>
    <row r="432" spans="1:5" x14ac:dyDescent="0.35">
      <c r="A432" s="75" t="s">
        <v>276</v>
      </c>
      <c r="B432" s="75" t="s">
        <v>278</v>
      </c>
      <c r="C432" s="79" t="s">
        <v>563</v>
      </c>
      <c r="D432" s="77">
        <v>39348</v>
      </c>
      <c r="E432" s="78">
        <v>197.976</v>
      </c>
    </row>
    <row r="433" spans="1:5" x14ac:dyDescent="0.35">
      <c r="A433" s="75" t="s">
        <v>274</v>
      </c>
      <c r="B433" s="75" t="s">
        <v>578</v>
      </c>
      <c r="C433" s="79" t="s">
        <v>563</v>
      </c>
      <c r="D433" s="77">
        <v>39350</v>
      </c>
      <c r="E433" s="78">
        <v>214.1009</v>
      </c>
    </row>
    <row r="434" spans="1:5" x14ac:dyDescent="0.35">
      <c r="A434" s="75" t="s">
        <v>270</v>
      </c>
      <c r="B434" s="75" t="s">
        <v>579</v>
      </c>
      <c r="C434" s="79" t="s">
        <v>563</v>
      </c>
      <c r="D434" s="77">
        <v>39354</v>
      </c>
      <c r="E434" s="78">
        <v>205.8</v>
      </c>
    </row>
    <row r="435" spans="1:5" x14ac:dyDescent="0.35">
      <c r="A435" s="75" t="s">
        <v>270</v>
      </c>
      <c r="B435" s="75" t="s">
        <v>580</v>
      </c>
      <c r="C435" s="79" t="s">
        <v>563</v>
      </c>
      <c r="D435" s="77">
        <v>39354</v>
      </c>
      <c r="E435" s="78">
        <v>226.506</v>
      </c>
    </row>
    <row r="436" spans="1:5" x14ac:dyDescent="0.35">
      <c r="A436" s="75" t="s">
        <v>283</v>
      </c>
      <c r="B436" s="75" t="s">
        <v>581</v>
      </c>
      <c r="C436" s="79" t="s">
        <v>563</v>
      </c>
      <c r="D436" s="77">
        <v>39356</v>
      </c>
      <c r="E436" s="78">
        <v>204.19800000000001</v>
      </c>
    </row>
    <row r="437" spans="1:5" x14ac:dyDescent="0.35">
      <c r="A437" s="75" t="s">
        <v>274</v>
      </c>
      <c r="B437" s="75" t="s">
        <v>582</v>
      </c>
      <c r="C437" s="79" t="s">
        <v>563</v>
      </c>
      <c r="D437" s="77">
        <v>39361</v>
      </c>
      <c r="E437" s="78">
        <v>214.1009</v>
      </c>
    </row>
    <row r="438" spans="1:5" x14ac:dyDescent="0.35">
      <c r="A438" s="75" t="s">
        <v>270</v>
      </c>
      <c r="B438" s="75" t="s">
        <v>444</v>
      </c>
      <c r="C438" s="79" t="s">
        <v>563</v>
      </c>
      <c r="D438" s="77">
        <v>39364</v>
      </c>
      <c r="E438" s="78">
        <v>190.96250000000001</v>
      </c>
    </row>
    <row r="439" spans="1:5" x14ac:dyDescent="0.35">
      <c r="A439" s="75" t="s">
        <v>283</v>
      </c>
      <c r="B439" s="75" t="s">
        <v>583</v>
      </c>
      <c r="C439" s="79" t="s">
        <v>563</v>
      </c>
      <c r="D439" s="77">
        <v>39364</v>
      </c>
      <c r="E439" s="78">
        <v>197.95179999999999</v>
      </c>
    </row>
    <row r="440" spans="1:5" x14ac:dyDescent="0.35">
      <c r="A440" s="75" t="s">
        <v>274</v>
      </c>
      <c r="B440" s="75" t="s">
        <v>584</v>
      </c>
      <c r="C440" s="79" t="s">
        <v>563</v>
      </c>
      <c r="D440" s="77">
        <v>39370</v>
      </c>
      <c r="E440" s="78">
        <v>211.05500000000001</v>
      </c>
    </row>
    <row r="441" spans="1:5" x14ac:dyDescent="0.35">
      <c r="A441" s="75" t="s">
        <v>274</v>
      </c>
      <c r="B441" s="75" t="s">
        <v>585</v>
      </c>
      <c r="C441" s="79" t="s">
        <v>563</v>
      </c>
      <c r="D441" s="77">
        <v>39384</v>
      </c>
      <c r="E441" s="78">
        <v>190.66380000000001</v>
      </c>
    </row>
    <row r="442" spans="1:5" x14ac:dyDescent="0.35">
      <c r="A442" s="75" t="s">
        <v>283</v>
      </c>
      <c r="B442" s="75" t="s">
        <v>379</v>
      </c>
      <c r="C442" s="79" t="s">
        <v>563</v>
      </c>
      <c r="D442" s="77">
        <v>39384</v>
      </c>
      <c r="E442" s="78">
        <v>197.95179999999999</v>
      </c>
    </row>
    <row r="443" spans="1:5" x14ac:dyDescent="0.35">
      <c r="A443" s="75" t="s">
        <v>270</v>
      </c>
      <c r="B443" s="75" t="s">
        <v>580</v>
      </c>
      <c r="C443" s="79" t="s">
        <v>563</v>
      </c>
      <c r="D443" s="77">
        <v>39388</v>
      </c>
      <c r="E443" s="78">
        <v>226.506</v>
      </c>
    </row>
    <row r="444" spans="1:5" x14ac:dyDescent="0.35">
      <c r="A444" s="75" t="s">
        <v>276</v>
      </c>
      <c r="B444" s="75" t="s">
        <v>500</v>
      </c>
      <c r="C444" s="79" t="s">
        <v>563</v>
      </c>
      <c r="D444" s="77">
        <v>39391</v>
      </c>
      <c r="E444" s="78">
        <v>185.70439999999999</v>
      </c>
    </row>
    <row r="445" spans="1:5" x14ac:dyDescent="0.35">
      <c r="A445" s="75" t="s">
        <v>274</v>
      </c>
      <c r="B445" s="75" t="s">
        <v>388</v>
      </c>
      <c r="C445" s="79" t="s">
        <v>563</v>
      </c>
      <c r="D445" s="77">
        <v>39392</v>
      </c>
      <c r="E445" s="78">
        <v>204.42599999999999</v>
      </c>
    </row>
    <row r="446" spans="1:5" x14ac:dyDescent="0.35">
      <c r="A446" s="75" t="s">
        <v>270</v>
      </c>
      <c r="B446" s="75" t="s">
        <v>586</v>
      </c>
      <c r="C446" s="79" t="s">
        <v>563</v>
      </c>
      <c r="D446" s="77">
        <v>39410</v>
      </c>
      <c r="E446" s="78">
        <v>188.06880000000001</v>
      </c>
    </row>
    <row r="447" spans="1:5" x14ac:dyDescent="0.35">
      <c r="A447" s="75" t="s">
        <v>276</v>
      </c>
      <c r="B447" s="75" t="s">
        <v>472</v>
      </c>
      <c r="C447" s="79" t="s">
        <v>563</v>
      </c>
      <c r="D447" s="77">
        <v>39424</v>
      </c>
      <c r="E447" s="78">
        <v>209.44110000000001</v>
      </c>
    </row>
    <row r="448" spans="1:5" x14ac:dyDescent="0.35">
      <c r="A448" s="75" t="s">
        <v>270</v>
      </c>
      <c r="B448" s="75" t="s">
        <v>587</v>
      </c>
      <c r="C448" s="79" t="s">
        <v>563</v>
      </c>
      <c r="D448" s="77">
        <v>39426</v>
      </c>
      <c r="E448" s="78">
        <v>206.505</v>
      </c>
    </row>
    <row r="449" spans="1:5" x14ac:dyDescent="0.35">
      <c r="A449" s="75" t="s">
        <v>274</v>
      </c>
      <c r="B449" s="75" t="s">
        <v>588</v>
      </c>
      <c r="C449" s="79" t="s">
        <v>563</v>
      </c>
      <c r="D449" s="77">
        <v>39437</v>
      </c>
      <c r="E449" s="78">
        <v>192.2971</v>
      </c>
    </row>
    <row r="450" spans="1:5" x14ac:dyDescent="0.35">
      <c r="A450" s="75" t="s">
        <v>274</v>
      </c>
      <c r="B450" s="75" t="s">
        <v>570</v>
      </c>
      <c r="C450" s="79" t="s">
        <v>563</v>
      </c>
      <c r="D450" s="77">
        <v>39445</v>
      </c>
      <c r="E450" s="78">
        <v>134.53620000000001</v>
      </c>
    </row>
    <row r="451" spans="1:5" x14ac:dyDescent="0.35">
      <c r="A451" s="75" t="s">
        <v>276</v>
      </c>
      <c r="B451" s="75" t="s">
        <v>452</v>
      </c>
      <c r="C451" s="79" t="s">
        <v>563</v>
      </c>
      <c r="D451" s="77">
        <v>39445</v>
      </c>
      <c r="E451" s="78">
        <v>165.44649999999999</v>
      </c>
    </row>
    <row r="452" spans="1:5" x14ac:dyDescent="0.35">
      <c r="A452" s="75" t="s">
        <v>283</v>
      </c>
      <c r="B452" s="75" t="s">
        <v>346</v>
      </c>
      <c r="C452" s="79" t="s">
        <v>563</v>
      </c>
      <c r="D452" s="77">
        <v>39445</v>
      </c>
      <c r="E452" s="78">
        <v>175.8296</v>
      </c>
    </row>
    <row r="453" spans="1:5" x14ac:dyDescent="0.35">
      <c r="A453" s="75" t="s">
        <v>276</v>
      </c>
      <c r="B453" s="75" t="s">
        <v>589</v>
      </c>
      <c r="C453" s="79" t="s">
        <v>563</v>
      </c>
      <c r="D453" s="77">
        <v>39448</v>
      </c>
      <c r="E453" s="78">
        <v>198.9213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 KHARAL</dc:creator>
  <cp:lastModifiedBy>RAI KHARAL</cp:lastModifiedBy>
  <dcterms:created xsi:type="dcterms:W3CDTF">2026-08-13T12:20:00Z</dcterms:created>
  <dcterms:modified xsi:type="dcterms:W3CDTF">2026-08-14T03:16:06Z</dcterms:modified>
</cp:coreProperties>
</file>